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24226"/>
  <mc:AlternateContent xmlns:mc="http://schemas.openxmlformats.org/markup-compatibility/2006">
    <mc:Choice Requires="x15">
      <x15ac:absPath xmlns:x15ac="http://schemas.microsoft.com/office/spreadsheetml/2010/11/ac" url="D:\Downloads\"/>
    </mc:Choice>
  </mc:AlternateContent>
  <xr:revisionPtr revIDLastSave="0" documentId="13_ncr:1_{8836269B-EF87-4D44-935B-59CAA637119B}" xr6:coauthVersionLast="47" xr6:coauthVersionMax="47" xr10:uidLastSave="{00000000-0000-0000-0000-000000000000}"/>
  <bookViews>
    <workbookView xWindow="-120" yWindow="-120" windowWidth="19440" windowHeight="11520" xr2:uid="{00000000-000D-0000-FFFF-FFFF00000000}"/>
  </bookViews>
  <sheets>
    <sheet name="Dashboard" sheetId="6" r:id="rId1"/>
    <sheet name="PivotTable" sheetId="5" r:id="rId2"/>
    <sheet name="Table" sheetId="3" r:id="rId3"/>
    <sheet name="Original File" sheetId="2" r:id="rId4"/>
  </sheets>
  <definedNames>
    <definedName name="AOV">PivotTable!$E$4</definedName>
    <definedName name="AvgDiscount">PivotTable!$E$10</definedName>
    <definedName name="NetSales">PivotTable!$E$7</definedName>
    <definedName name="Netsales1">PivotTable!$F$7</definedName>
    <definedName name="Quantity">PivotTable!$C$29</definedName>
    <definedName name="QuantitySold">PivotTable!$B$19</definedName>
    <definedName name="Slicer_Product">#N/A</definedName>
    <definedName name="TotalSales">PivotTable!$A$9</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5" l="1"/>
  <c r="F7" i="5"/>
  <c r="B2"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P2"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L3" i="3"/>
  <c r="L2"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M2" i="3"/>
  <c r="N2" i="3" s="1"/>
  <c r="M3" i="3"/>
  <c r="N3" i="3" s="1"/>
  <c r="M4" i="3"/>
  <c r="N4" i="3" s="1"/>
  <c r="M5" i="3"/>
  <c r="N5" i="3" s="1"/>
  <c r="M6" i="3"/>
  <c r="N6" i="3" s="1"/>
  <c r="M7" i="3"/>
  <c r="N7" i="3" s="1"/>
  <c r="M8" i="3"/>
  <c r="N8" i="3" s="1"/>
  <c r="M9" i="3"/>
  <c r="N9" i="3" s="1"/>
  <c r="M10" i="3"/>
  <c r="N10" i="3" s="1"/>
  <c r="M11" i="3"/>
  <c r="N11" i="3" s="1"/>
  <c r="M12" i="3"/>
  <c r="N12" i="3" s="1"/>
  <c r="M13" i="3"/>
  <c r="N13" i="3" s="1"/>
  <c r="M14" i="3"/>
  <c r="N14" i="3" s="1"/>
  <c r="M15" i="3"/>
  <c r="N15" i="3" s="1"/>
  <c r="M16" i="3"/>
  <c r="N16" i="3" s="1"/>
  <c r="M17" i="3"/>
  <c r="N17" i="3" s="1"/>
  <c r="M18" i="3"/>
  <c r="N18" i="3" s="1"/>
  <c r="M19" i="3"/>
  <c r="N19" i="3" s="1"/>
  <c r="M20" i="3"/>
  <c r="N20" i="3" s="1"/>
  <c r="M21" i="3"/>
  <c r="N21" i="3" s="1"/>
  <c r="M22" i="3"/>
  <c r="N22" i="3" s="1"/>
  <c r="M23" i="3"/>
  <c r="N23" i="3" s="1"/>
  <c r="M24" i="3"/>
  <c r="N24" i="3" s="1"/>
  <c r="M25" i="3"/>
  <c r="N25" i="3" s="1"/>
  <c r="M26" i="3"/>
  <c r="N26" i="3" s="1"/>
  <c r="M27" i="3"/>
  <c r="N27" i="3" s="1"/>
  <c r="M28" i="3"/>
  <c r="N28" i="3" s="1"/>
  <c r="M29" i="3"/>
  <c r="N29" i="3" s="1"/>
  <c r="M30" i="3"/>
  <c r="N30" i="3" s="1"/>
  <c r="M31" i="3"/>
  <c r="N31" i="3" s="1"/>
  <c r="M32" i="3"/>
  <c r="N32" i="3" s="1"/>
  <c r="M33" i="3"/>
  <c r="N33" i="3" s="1"/>
  <c r="M34" i="3"/>
  <c r="N34" i="3" s="1"/>
  <c r="M35" i="3"/>
  <c r="N35" i="3" s="1"/>
  <c r="M36" i="3"/>
  <c r="N36" i="3" s="1"/>
  <c r="M37" i="3"/>
  <c r="N37" i="3" s="1"/>
  <c r="M38" i="3"/>
  <c r="N38" i="3" s="1"/>
  <c r="M39" i="3"/>
  <c r="N39" i="3" s="1"/>
  <c r="M40" i="3"/>
  <c r="N40" i="3" s="1"/>
  <c r="M41" i="3"/>
  <c r="N41" i="3" s="1"/>
  <c r="M42" i="3"/>
  <c r="N42" i="3" s="1"/>
  <c r="M43" i="3"/>
  <c r="N43" i="3" s="1"/>
  <c r="M44" i="3"/>
  <c r="N44" i="3" s="1"/>
  <c r="M45" i="3"/>
  <c r="N45" i="3" s="1"/>
  <c r="M46" i="3"/>
  <c r="N46" i="3" s="1"/>
  <c r="M47" i="3"/>
  <c r="N47" i="3" s="1"/>
  <c r="M48" i="3"/>
  <c r="N48" i="3" s="1"/>
  <c r="M49" i="3"/>
  <c r="N49" i="3" s="1"/>
  <c r="M50" i="3"/>
  <c r="N50" i="3" s="1"/>
  <c r="M51" i="3"/>
  <c r="N51" i="3" s="1"/>
  <c r="M52" i="3"/>
  <c r="N52" i="3" s="1"/>
  <c r="M53" i="3"/>
  <c r="N53" i="3" s="1"/>
  <c r="M54" i="3"/>
  <c r="N54" i="3" s="1"/>
  <c r="M55" i="3"/>
  <c r="N55" i="3" s="1"/>
  <c r="M56" i="3"/>
  <c r="N56" i="3" s="1"/>
  <c r="M57" i="3"/>
  <c r="N57" i="3" s="1"/>
  <c r="M58" i="3"/>
  <c r="N58" i="3" s="1"/>
  <c r="M59" i="3"/>
  <c r="N59" i="3" s="1"/>
  <c r="M60" i="3"/>
  <c r="N60" i="3" s="1"/>
  <c r="M61" i="3"/>
  <c r="N61" i="3" s="1"/>
  <c r="M62" i="3"/>
  <c r="N62" i="3" s="1"/>
  <c r="M63" i="3"/>
  <c r="N63" i="3" s="1"/>
  <c r="M64" i="3"/>
  <c r="N64" i="3" s="1"/>
  <c r="M65" i="3"/>
  <c r="N65" i="3" s="1"/>
  <c r="M66" i="3"/>
  <c r="N66" i="3" s="1"/>
  <c r="M67" i="3"/>
  <c r="N67" i="3" s="1"/>
  <c r="M68" i="3"/>
  <c r="N68" i="3" s="1"/>
  <c r="M69" i="3"/>
  <c r="N69" i="3" s="1"/>
  <c r="M70" i="3"/>
  <c r="N70" i="3" s="1"/>
  <c r="M71" i="3"/>
  <c r="N71" i="3" s="1"/>
  <c r="M72" i="3"/>
  <c r="N72" i="3" s="1"/>
  <c r="M73" i="3"/>
  <c r="N73" i="3" s="1"/>
  <c r="M74" i="3"/>
  <c r="N74" i="3" s="1"/>
  <c r="M75" i="3"/>
  <c r="N75" i="3" s="1"/>
  <c r="M76" i="3"/>
  <c r="N76" i="3" s="1"/>
  <c r="M77" i="3"/>
  <c r="N77" i="3" s="1"/>
  <c r="M78" i="3"/>
  <c r="N78" i="3" s="1"/>
  <c r="M79" i="3"/>
  <c r="N79" i="3" s="1"/>
  <c r="M80" i="3"/>
  <c r="N80" i="3" s="1"/>
  <c r="M81" i="3"/>
  <c r="N81" i="3" s="1"/>
  <c r="M82" i="3"/>
  <c r="N82" i="3" s="1"/>
  <c r="M83" i="3"/>
  <c r="N83" i="3" s="1"/>
  <c r="M84" i="3"/>
  <c r="N84" i="3" s="1"/>
  <c r="M85" i="3"/>
  <c r="N85" i="3" s="1"/>
  <c r="M86" i="3"/>
  <c r="N86" i="3" s="1"/>
  <c r="M87" i="3"/>
  <c r="N87" i="3" s="1"/>
  <c r="M88" i="3"/>
  <c r="N88" i="3" s="1"/>
  <c r="M89" i="3"/>
  <c r="N89" i="3" s="1"/>
  <c r="M90" i="3"/>
  <c r="N90" i="3" s="1"/>
  <c r="M91" i="3"/>
  <c r="N91" i="3" s="1"/>
  <c r="M92" i="3"/>
  <c r="N92" i="3" s="1"/>
  <c r="M93" i="3"/>
  <c r="N93" i="3" s="1"/>
  <c r="M94" i="3"/>
  <c r="N94" i="3" s="1"/>
  <c r="M95" i="3"/>
  <c r="N95" i="3" s="1"/>
  <c r="M96" i="3"/>
  <c r="N96" i="3" s="1"/>
  <c r="M97" i="3"/>
  <c r="N97" i="3" s="1"/>
  <c r="M98" i="3"/>
  <c r="N98" i="3" s="1"/>
  <c r="M99" i="3"/>
  <c r="N99" i="3" s="1"/>
  <c r="M100" i="3"/>
  <c r="N100" i="3" s="1"/>
  <c r="M101" i="3"/>
  <c r="N101" i="3" s="1"/>
  <c r="O101" i="3" l="1"/>
  <c r="Q101" i="3"/>
  <c r="O100" i="3"/>
  <c r="Q100" i="3"/>
  <c r="O99" i="3"/>
  <c r="Q99" i="3"/>
  <c r="O98" i="3"/>
  <c r="Q98" i="3"/>
  <c r="O97" i="3"/>
  <c r="Q97" i="3"/>
  <c r="O96" i="3"/>
  <c r="Q96" i="3"/>
  <c r="O95" i="3"/>
  <c r="Q95" i="3"/>
  <c r="O94" i="3"/>
  <c r="Q94" i="3"/>
  <c r="O93" i="3"/>
  <c r="Q93" i="3"/>
  <c r="O92" i="3"/>
  <c r="Q92" i="3"/>
  <c r="O91" i="3"/>
  <c r="Q91" i="3"/>
  <c r="O90" i="3"/>
  <c r="Q90" i="3"/>
  <c r="O89" i="3"/>
  <c r="Q89" i="3"/>
  <c r="O88" i="3"/>
  <c r="Q88" i="3"/>
  <c r="O87" i="3"/>
  <c r="Q87" i="3"/>
  <c r="O86" i="3"/>
  <c r="Q86" i="3"/>
  <c r="O85" i="3"/>
  <c r="Q85" i="3"/>
  <c r="O84" i="3"/>
  <c r="Q84" i="3"/>
  <c r="O83" i="3"/>
  <c r="Q83" i="3"/>
  <c r="O82" i="3"/>
  <c r="Q82" i="3"/>
  <c r="O81" i="3"/>
  <c r="Q81" i="3"/>
  <c r="O80" i="3"/>
  <c r="Q80" i="3"/>
  <c r="O79" i="3"/>
  <c r="Q79" i="3"/>
  <c r="O78" i="3"/>
  <c r="Q78" i="3"/>
  <c r="O77" i="3"/>
  <c r="Q77" i="3"/>
  <c r="O76" i="3"/>
  <c r="Q76" i="3"/>
  <c r="O75" i="3"/>
  <c r="Q75" i="3"/>
  <c r="O74" i="3"/>
  <c r="Q74" i="3"/>
  <c r="O73" i="3"/>
  <c r="Q73" i="3"/>
  <c r="O72" i="3"/>
  <c r="Q72" i="3"/>
  <c r="O71" i="3"/>
  <c r="Q71" i="3"/>
  <c r="O70" i="3"/>
  <c r="Q70" i="3"/>
  <c r="O69" i="3"/>
  <c r="Q69" i="3"/>
  <c r="O68" i="3"/>
  <c r="Q68" i="3"/>
  <c r="O67" i="3"/>
  <c r="Q67" i="3"/>
  <c r="O66" i="3"/>
  <c r="Q66" i="3"/>
  <c r="O65" i="3"/>
  <c r="Q65" i="3"/>
  <c r="O64" i="3"/>
  <c r="Q64" i="3"/>
  <c r="O63" i="3"/>
  <c r="Q63" i="3"/>
  <c r="O62" i="3"/>
  <c r="Q62" i="3"/>
  <c r="O61" i="3"/>
  <c r="Q61" i="3"/>
  <c r="O60" i="3"/>
  <c r="Q60" i="3"/>
  <c r="O59" i="3"/>
  <c r="Q59" i="3"/>
  <c r="O58" i="3"/>
  <c r="Q58" i="3"/>
  <c r="O57" i="3"/>
  <c r="Q57" i="3"/>
  <c r="O56" i="3"/>
  <c r="Q56" i="3"/>
  <c r="O55" i="3"/>
  <c r="Q55" i="3"/>
  <c r="O54" i="3"/>
  <c r="Q54" i="3"/>
  <c r="O53" i="3"/>
  <c r="Q53" i="3"/>
  <c r="O52" i="3"/>
  <c r="Q52" i="3"/>
  <c r="O51" i="3"/>
  <c r="Q51" i="3"/>
  <c r="O50" i="3"/>
  <c r="Q50" i="3"/>
  <c r="O49" i="3"/>
  <c r="Q49" i="3"/>
  <c r="O48" i="3"/>
  <c r="Q48" i="3"/>
  <c r="O47" i="3"/>
  <c r="Q47" i="3"/>
  <c r="O46" i="3"/>
  <c r="Q46" i="3"/>
  <c r="O45" i="3"/>
  <c r="Q45" i="3"/>
  <c r="O44" i="3"/>
  <c r="Q44" i="3"/>
  <c r="O43" i="3"/>
  <c r="Q43" i="3"/>
  <c r="O42" i="3"/>
  <c r="Q42" i="3"/>
  <c r="O41" i="3"/>
  <c r="Q41" i="3"/>
  <c r="O40" i="3"/>
  <c r="Q40" i="3"/>
  <c r="O39" i="3"/>
  <c r="Q39" i="3"/>
  <c r="O38" i="3"/>
  <c r="Q38" i="3"/>
  <c r="O37" i="3"/>
  <c r="Q37" i="3"/>
  <c r="O36" i="3"/>
  <c r="Q36" i="3"/>
  <c r="O35" i="3"/>
  <c r="Q35" i="3"/>
  <c r="O34" i="3"/>
  <c r="Q34" i="3"/>
  <c r="O33" i="3"/>
  <c r="Q33" i="3"/>
  <c r="O32" i="3"/>
  <c r="Q32" i="3"/>
  <c r="O31" i="3"/>
  <c r="Q31" i="3"/>
  <c r="O30" i="3"/>
  <c r="Q30" i="3"/>
  <c r="O29" i="3"/>
  <c r="Q29" i="3"/>
  <c r="O28" i="3"/>
  <c r="Q28" i="3"/>
  <c r="O27" i="3"/>
  <c r="Q27" i="3"/>
  <c r="O26" i="3"/>
  <c r="Q26" i="3"/>
  <c r="O25" i="3"/>
  <c r="Q25" i="3"/>
  <c r="O24" i="3"/>
  <c r="Q24" i="3"/>
  <c r="O23" i="3"/>
  <c r="Q23" i="3"/>
  <c r="O22" i="3"/>
  <c r="Q22" i="3"/>
  <c r="O21" i="3"/>
  <c r="Q21" i="3"/>
  <c r="O20" i="3"/>
  <c r="Q20" i="3"/>
  <c r="O19" i="3"/>
  <c r="Q19" i="3"/>
  <c r="O18" i="3"/>
  <c r="Q18" i="3"/>
  <c r="O17" i="3"/>
  <c r="Q17" i="3"/>
  <c r="O16" i="3"/>
  <c r="Q16" i="3"/>
  <c r="O15" i="3"/>
  <c r="Q15" i="3"/>
  <c r="O14" i="3"/>
  <c r="Q14" i="3"/>
  <c r="O13" i="3"/>
  <c r="Q13" i="3"/>
  <c r="O12" i="3"/>
  <c r="Q12" i="3"/>
  <c r="O11" i="3"/>
  <c r="Q11" i="3"/>
  <c r="O10" i="3"/>
  <c r="Q10" i="3"/>
  <c r="O9" i="3"/>
  <c r="Q9" i="3"/>
  <c r="O8" i="3"/>
  <c r="Q8" i="3"/>
  <c r="O7" i="3"/>
  <c r="Q7" i="3"/>
  <c r="O6" i="3"/>
  <c r="Q6" i="3"/>
  <c r="O5" i="3"/>
  <c r="Q5" i="3"/>
  <c r="O4" i="3"/>
  <c r="Q4" i="3"/>
  <c r="O2" i="3"/>
  <c r="Q2" i="3"/>
  <c r="O3" i="3"/>
  <c r="Q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DDCCB5-22B3-48C7-A53F-6472C61564EB}"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<sst xmlns="http://schemas.openxmlformats.org/spreadsheetml/2006/main" count="1429" uniqueCount="248">
  <si>
    <t>TransactionID</t>
  </si>
  <si>
    <t>Date</t>
  </si>
  <si>
    <t>CustomerName</t>
  </si>
  <si>
    <t>Product</t>
  </si>
  <si>
    <t>Category</t>
  </si>
  <si>
    <t>Region</t>
  </si>
  <si>
    <t>Quantity</t>
  </si>
  <si>
    <t>UnitPrice</t>
  </si>
  <si>
    <t>PaymentMethod</t>
  </si>
  <si>
    <t>TotalSales</t>
  </si>
  <si>
    <t>T1000</t>
  </si>
  <si>
    <t>T1001</t>
  </si>
  <si>
    <t>T1002</t>
  </si>
  <si>
    <t>T1003</t>
  </si>
  <si>
    <t>T1004</t>
  </si>
  <si>
    <t>T1005</t>
  </si>
  <si>
    <t>T1006</t>
  </si>
  <si>
    <t>T1007</t>
  </si>
  <si>
    <t>T1008</t>
  </si>
  <si>
    <t>T1009</t>
  </si>
  <si>
    <t>T1010</t>
  </si>
  <si>
    <t>T1011</t>
  </si>
  <si>
    <t>T1012</t>
  </si>
  <si>
    <t>T1013</t>
  </si>
  <si>
    <t>T1014</t>
  </si>
  <si>
    <t>T1015</t>
  </si>
  <si>
    <t>T1016</t>
  </si>
  <si>
    <t>T1017</t>
  </si>
  <si>
    <t>T1018</t>
  </si>
  <si>
    <t>T1019</t>
  </si>
  <si>
    <t>T1020</t>
  </si>
  <si>
    <t>T1021</t>
  </si>
  <si>
    <t>T1022</t>
  </si>
  <si>
    <t>T1023</t>
  </si>
  <si>
    <t>T1024</t>
  </si>
  <si>
    <t>T1025</t>
  </si>
  <si>
    <t>T1026</t>
  </si>
  <si>
    <t>T1027</t>
  </si>
  <si>
    <t>T1028</t>
  </si>
  <si>
    <t>T1029</t>
  </si>
  <si>
    <t>T1030</t>
  </si>
  <si>
    <t>T1031</t>
  </si>
  <si>
    <t>T1032</t>
  </si>
  <si>
    <t>T1033</t>
  </si>
  <si>
    <t>T1034</t>
  </si>
  <si>
    <t>T1035</t>
  </si>
  <si>
    <t>T1036</t>
  </si>
  <si>
    <t>T1037</t>
  </si>
  <si>
    <t>T1038</t>
  </si>
  <si>
    <t>T1039</t>
  </si>
  <si>
    <t>T1040</t>
  </si>
  <si>
    <t>T1041</t>
  </si>
  <si>
    <t>T1042</t>
  </si>
  <si>
    <t>T1043</t>
  </si>
  <si>
    <t>T1044</t>
  </si>
  <si>
    <t>T1045</t>
  </si>
  <si>
    <t>T1046</t>
  </si>
  <si>
    <t>T1047</t>
  </si>
  <si>
    <t>T1048</t>
  </si>
  <si>
    <t>T1049</t>
  </si>
  <si>
    <t>T1050</t>
  </si>
  <si>
    <t>T1051</t>
  </si>
  <si>
    <t>T1052</t>
  </si>
  <si>
    <t>T1053</t>
  </si>
  <si>
    <t>T1054</t>
  </si>
  <si>
    <t>T1055</t>
  </si>
  <si>
    <t>T1056</t>
  </si>
  <si>
    <t>T1057</t>
  </si>
  <si>
    <t>T1058</t>
  </si>
  <si>
    <t>T1059</t>
  </si>
  <si>
    <t>T1060</t>
  </si>
  <si>
    <t>T1061</t>
  </si>
  <si>
    <t>T1062</t>
  </si>
  <si>
    <t>T1063</t>
  </si>
  <si>
    <t>T1064</t>
  </si>
  <si>
    <t>T1065</t>
  </si>
  <si>
    <t>T1066</t>
  </si>
  <si>
    <t>T1067</t>
  </si>
  <si>
    <t>T1068</t>
  </si>
  <si>
    <t>T1069</t>
  </si>
  <si>
    <t>T1070</t>
  </si>
  <si>
    <t>T1071</t>
  </si>
  <si>
    <t>T1072</t>
  </si>
  <si>
    <t>T1073</t>
  </si>
  <si>
    <t>T1074</t>
  </si>
  <si>
    <t>T1075</t>
  </si>
  <si>
    <t>T1076</t>
  </si>
  <si>
    <t>T1077</t>
  </si>
  <si>
    <t>T1078</t>
  </si>
  <si>
    <t>T1079</t>
  </si>
  <si>
    <t>T1080</t>
  </si>
  <si>
    <t>T1081</t>
  </si>
  <si>
    <t>T1082</t>
  </si>
  <si>
    <t>T1083</t>
  </si>
  <si>
    <t>T1084</t>
  </si>
  <si>
    <t>T1085</t>
  </si>
  <si>
    <t>T1086</t>
  </si>
  <si>
    <t>T1087</t>
  </si>
  <si>
    <t>T1088</t>
  </si>
  <si>
    <t>T1089</t>
  </si>
  <si>
    <t>T1090</t>
  </si>
  <si>
    <t>T1091</t>
  </si>
  <si>
    <t>T1092</t>
  </si>
  <si>
    <t>T1093</t>
  </si>
  <si>
    <t>T1094</t>
  </si>
  <si>
    <t>T1095</t>
  </si>
  <si>
    <t>T1096</t>
  </si>
  <si>
    <t>T1097</t>
  </si>
  <si>
    <t>T1098</t>
  </si>
  <si>
    <t>T1099</t>
  </si>
  <si>
    <t>Morgan Brown</t>
  </si>
  <si>
    <t>Riley Harris</t>
  </si>
  <si>
    <t>Taylor Lee</t>
  </si>
  <si>
    <t>Drew Garcia</t>
  </si>
  <si>
    <t>Drew Harris</t>
  </si>
  <si>
    <t>Jordan Martinez</t>
  </si>
  <si>
    <t>Drew Davis</t>
  </si>
  <si>
    <t>Morgan Smith</t>
  </si>
  <si>
    <t>Drew Smith</t>
  </si>
  <si>
    <t>Morgan Johnson</t>
  </si>
  <si>
    <t>Taylor Brown</t>
  </si>
  <si>
    <t>Drew Lopez</t>
  </si>
  <si>
    <t>Taylor Harris</t>
  </si>
  <si>
    <t>Taylor Clark</t>
  </si>
  <si>
    <t>Drew Lee</t>
  </si>
  <si>
    <t>Jordan Davis</t>
  </si>
  <si>
    <t>Morgan Clark</t>
  </si>
  <si>
    <t>Jordan Brown</t>
  </si>
  <si>
    <t>Riley Clark</t>
  </si>
  <si>
    <t>Pat Johnson</t>
  </si>
  <si>
    <t>Alex Johnson</t>
  </si>
  <si>
    <t>Morgan Harris</t>
  </si>
  <si>
    <t>Casey Johnson</t>
  </si>
  <si>
    <t>Alex Brown</t>
  </si>
  <si>
    <t>Alex Davis</t>
  </si>
  <si>
    <t>Pat Davis</t>
  </si>
  <si>
    <t>Casey Garcia</t>
  </si>
  <si>
    <t>Casey Davis</t>
  </si>
  <si>
    <t>Jordan Lopez</t>
  </si>
  <si>
    <t>Drew Brown</t>
  </si>
  <si>
    <t>Pat Clark</t>
  </si>
  <si>
    <t>Morgan Lee</t>
  </si>
  <si>
    <t>Chris Martinez</t>
  </si>
  <si>
    <t>Alex Clark</t>
  </si>
  <si>
    <t>Chris Clark</t>
  </si>
  <si>
    <t>Drew Martinez</t>
  </si>
  <si>
    <t>Taylor Garcia</t>
  </si>
  <si>
    <t>Chris Lee</t>
  </si>
  <si>
    <t>Taylor Lopez</t>
  </si>
  <si>
    <t>Riley Martinez</t>
  </si>
  <si>
    <t>Jordan Harris</t>
  </si>
  <si>
    <t>Riley Smith</t>
  </si>
  <si>
    <t>Chris Smith</t>
  </si>
  <si>
    <t>Pat Lee</t>
  </si>
  <si>
    <t>Drew Johnson</t>
  </si>
  <si>
    <t>Jamie Brown</t>
  </si>
  <si>
    <t>Jamie Lee</t>
  </si>
  <si>
    <t>Jordan Smith</t>
  </si>
  <si>
    <t>Alex Lee</t>
  </si>
  <si>
    <t>Casey Brown</t>
  </si>
  <si>
    <t>Morgan Garcia</t>
  </si>
  <si>
    <t>Jordan Garcia</t>
  </si>
  <si>
    <t>Alex Garcia</t>
  </si>
  <si>
    <t>Taylor Smith</t>
  </si>
  <si>
    <t>Casey Lopez</t>
  </si>
  <si>
    <t>Morgan Martinez</t>
  </si>
  <si>
    <t>Chris Lopez</t>
  </si>
  <si>
    <t>Chris Brown</t>
  </si>
  <si>
    <t>Casey Martinez</t>
  </si>
  <si>
    <t>Jamie Smith</t>
  </si>
  <si>
    <t>Pat Lopez</t>
  </si>
  <si>
    <t>Laptop</t>
  </si>
  <si>
    <t>Keyboard</t>
  </si>
  <si>
    <t>Camera</t>
  </si>
  <si>
    <t>Tablet</t>
  </si>
  <si>
    <t>Phone</t>
  </si>
  <si>
    <t>Monitor</t>
  </si>
  <si>
    <t>Mouse</t>
  </si>
  <si>
    <t>Headphones</t>
  </si>
  <si>
    <t>Speaker</t>
  </si>
  <si>
    <t>Charger</t>
  </si>
  <si>
    <t>Accessories</t>
  </si>
  <si>
    <t>Electronics</t>
  </si>
  <si>
    <t>West</t>
  </si>
  <si>
    <t>South</t>
  </si>
  <si>
    <t>North</t>
  </si>
  <si>
    <t>East</t>
  </si>
  <si>
    <t>Cash</t>
  </si>
  <si>
    <t>Online</t>
  </si>
  <si>
    <t>Card</t>
  </si>
  <si>
    <t>Morgan</t>
  </si>
  <si>
    <t>Brown</t>
  </si>
  <si>
    <t>Riley</t>
  </si>
  <si>
    <t>Harris</t>
  </si>
  <si>
    <t>Taylor</t>
  </si>
  <si>
    <t>Lee</t>
  </si>
  <si>
    <t>Drew</t>
  </si>
  <si>
    <t>Garcia</t>
  </si>
  <si>
    <t>Jordan</t>
  </si>
  <si>
    <t>Martinez</t>
  </si>
  <si>
    <t>Unknown</t>
  </si>
  <si>
    <t>Customer</t>
  </si>
  <si>
    <t>Davis</t>
  </si>
  <si>
    <t>Smith</t>
  </si>
  <si>
    <t>Johnson</t>
  </si>
  <si>
    <t>Lopez</t>
  </si>
  <si>
    <t>Clark</t>
  </si>
  <si>
    <t>Pat</t>
  </si>
  <si>
    <t>Alex</t>
  </si>
  <si>
    <t>Casey</t>
  </si>
  <si>
    <t>Chris</t>
  </si>
  <si>
    <t>Jamie</t>
  </si>
  <si>
    <t>FirstName</t>
  </si>
  <si>
    <t>LastName</t>
  </si>
  <si>
    <t>Discount</t>
  </si>
  <si>
    <t>NetSales</t>
  </si>
  <si>
    <t>SalesStatus</t>
  </si>
  <si>
    <t>CommisionRate</t>
  </si>
  <si>
    <t>CommissionRate</t>
  </si>
  <si>
    <t>Commission</t>
  </si>
  <si>
    <t>ExactDate</t>
  </si>
  <si>
    <t>Month/Year</t>
  </si>
  <si>
    <t>Grand Total</t>
  </si>
  <si>
    <t>Sum of TotalSales</t>
  </si>
  <si>
    <t>Apr-2025</t>
  </si>
  <si>
    <t>Feb-2025</t>
  </si>
  <si>
    <t>Jan-2025</t>
  </si>
  <si>
    <t>Mar-2025</t>
  </si>
  <si>
    <t>Sum of NetSales</t>
  </si>
  <si>
    <t>Average of UnitPrice</t>
  </si>
  <si>
    <t>Sum of Quantity</t>
  </si>
  <si>
    <t>Payment Method</t>
  </si>
  <si>
    <t>Products</t>
  </si>
  <si>
    <t>Count of SalesStatus</t>
  </si>
  <si>
    <t>High Value</t>
  </si>
  <si>
    <t>Regular</t>
  </si>
  <si>
    <t>Sales Status</t>
  </si>
  <si>
    <t>Avg of  Unit Price per Category</t>
  </si>
  <si>
    <t>Average of Discount</t>
  </si>
  <si>
    <t>Total Sales each Payment Method</t>
  </si>
  <si>
    <t>Percentage of Sale Satus</t>
  </si>
  <si>
    <t>Total Sales per Region</t>
  </si>
  <si>
    <t>Average Order Value</t>
  </si>
  <si>
    <t>Count of Category</t>
  </si>
  <si>
    <t>Percentage of Category Count</t>
  </si>
  <si>
    <t xml:space="preserve"> </t>
  </si>
  <si>
    <t>Total Sales (March to April)</t>
  </si>
  <si>
    <t>Total Sales per Product in each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</si>
</sst>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hh:mm:ss"/>
    <numFmt numFmtId="165" formatCode="[$-409]d\-mmm\-yyyy;@"/>
    <numFmt numFmtId="166" formatCode="&quot;$&quot;#,##0.00"/>
    <numFmt numFmtId="167" formatCode="&quot;$&quot;#,##0"/>
    <numFmt numFmtId="168" formatCode="&quot;$&quot;#,\ \K"/>
  </numFmts>
  <fonts count="5" x14ac:knownFonts="1">
    <font>
      <sz val="11"/>
      <color theme="1"/>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2">
    <xf numFmtId="0" fontId="0" fillId="0" borderId="0"/>
    <xf numFmtId="9" fontId="2" fillId="0" borderId="0" applyFont="0" applyFill="0" applyBorder="0" applyAlignment="0" applyProtection="0"/>
  </cellStyleXfs>
  <cellXfs count="22">
    <xf numFmtId="0" fontId="0" fillId="0" borderId="0" xfId="0"/>
    <xf numFmtId="0" fontId="1" fillId="0" borderId="1" xfId="0" applyFont="1" applyBorder="1" applyAlignment="1">
      <alignment horizontal="center" vertical="top"/>
    </xf>
    <xf numFmtId="164" fontId="0" fillId="0" borderId="0" xfId="0" applyNumberFormat="1"/>
    <xf numFmtId="0" fontId="1" fillId="0" borderId="0" xfId="0" applyFont="1"/>
    <xf numFmtId="49" fontId="0" fillId="0" borderId="0" xfId="0" applyNumberFormat="1"/>
    <xf numFmtId="165" fontId="0" fillId="0" borderId="0" xfId="0" applyNumberFormat="1"/>
    <xf numFmtId="166" fontId="0" fillId="0" borderId="0" xfId="0" applyNumberFormat="1"/>
    <xf numFmtId="167" fontId="0" fillId="0" borderId="0" xfId="0" applyNumberFormat="1"/>
    <xf numFmtId="0" fontId="1" fillId="0" borderId="2" xfId="0" applyFont="1" applyBorder="1" applyAlignment="1">
      <alignment horizontal="center" vertical="center"/>
    </xf>
    <xf numFmtId="0" fontId="0" fillId="0" borderId="0" xfId="0" applyAlignment="1">
      <alignment horizontal="center" vertical="center"/>
    </xf>
    <xf numFmtId="166" fontId="0" fillId="0" borderId="0" xfId="0" applyNumberFormat="1" applyAlignment="1">
      <alignment horizontal="right"/>
    </xf>
    <xf numFmtId="9" fontId="0" fillId="0" borderId="0" xfId="1" applyFont="1"/>
    <xf numFmtId="0" fontId="0" fillId="0" borderId="0" xfId="0" pivotButton="1"/>
    <xf numFmtId="0" fontId="0" fillId="0" borderId="0" xfId="0" applyAlignment="1">
      <alignment horizontal="left"/>
    </xf>
    <xf numFmtId="0" fontId="0" fillId="3" borderId="0" xfId="0" applyFill="1"/>
    <xf numFmtId="166" fontId="1" fillId="0" borderId="0" xfId="0" applyNumberFormat="1" applyFont="1"/>
    <xf numFmtId="168" fontId="3" fillId="0" borderId="0" xfId="0" applyNumberFormat="1" applyFont="1"/>
    <xf numFmtId="168" fontId="4" fillId="0" borderId="0" xfId="0" applyNumberFormat="1" applyFont="1"/>
    <xf numFmtId="9" fontId="0" fillId="0" borderId="0" xfId="0" applyNumberFormat="1"/>
    <xf numFmtId="0" fontId="1" fillId="2" borderId="0" xfId="0" applyFont="1" applyFill="1" applyAlignment="1">
      <alignment horizontal="center"/>
    </xf>
    <xf numFmtId="0" fontId="0" fillId="2" borderId="0" xfId="0" applyFill="1" applyAlignment="1">
      <alignment horizontal="center"/>
    </xf>
    <xf numFmtId="0" fontId="0" fillId="0" borderId="0" xfId="0" applyNumberFormat="1"/>
  </cellXfs>
  <cellStyles count="2">
    <cellStyle name="Normal" xfId="0" builtinId="0"/>
    <cellStyle name="Percent" xfId="1" builtinId="5"/>
  </cellStyles>
  <dxfs count="31">
    <dxf>
      <numFmt numFmtId="166" formatCode="&quot;$&quot;#,##0.00"/>
    </dxf>
    <dxf>
      <numFmt numFmtId="166" formatCode="&quot;$&quot;#,##0.00"/>
    </dxf>
    <dxf>
      <font>
        <b val="0"/>
        <i val="0"/>
        <strike val="0"/>
        <condense val="0"/>
        <extend val="0"/>
        <outline val="0"/>
        <shadow val="0"/>
        <u val="none"/>
        <vertAlign val="baseline"/>
        <sz val="11"/>
        <color theme="1"/>
        <name val="Calibri"/>
        <family val="2"/>
        <scheme val="minor"/>
      </font>
      <numFmt numFmtId="13" formatCode="0%"/>
    </dxf>
    <dxf>
      <numFmt numFmtId="13" formatCode="0%"/>
    </dxf>
    <dxf>
      <numFmt numFmtId="166" formatCode="&quot;$&quot;#,##0.00"/>
      <alignment horizontal="right" vertical="bottom" textRotation="0" wrapText="0" indent="0" justifyLastLine="0" shrinkToFit="0" readingOrder="0"/>
    </dxf>
    <dxf>
      <numFmt numFmtId="166" formatCode="&quot;$&quot;#,##0.00"/>
      <alignment horizontal="right" vertical="bottom" textRotation="0" wrapText="0" indent="0" justifyLastLine="0" shrinkToFit="0" readingOrder="0"/>
    </dxf>
    <dxf>
      <numFmt numFmtId="166" formatCode="&quot;$&quot;#,##0.00"/>
    </dxf>
    <dxf>
      <numFmt numFmtId="166" formatCode="&quot;$&quot;#,##0.0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0" formatCode="General"/>
    </dxf>
    <dxf>
      <numFmt numFmtId="0" formatCode="General"/>
    </dxf>
    <dxf>
      <numFmt numFmtId="165" formatCode="[$-409]d\-mmm\-yyyy;@"/>
    </dxf>
    <dxf>
      <numFmt numFmtId="165" formatCode="[$-409]d\-mmm\-yyyy;@"/>
    </dxf>
    <dxf>
      <numFmt numFmtId="0" formatCode="General"/>
    </dxf>
    <dxf>
      <numFmt numFmtId="0" formatCode="General"/>
    </dxf>
    <dxf>
      <numFmt numFmtId="0" formatCode="General"/>
    </dxf>
    <dxf>
      <alignment horizontal="general" vertical="bottom" textRotation="0" wrapText="0" indent="0" justifyLastLine="0" shrinkToFit="0" readingOrder="0"/>
    </dxf>
    <dxf>
      <alignment horizontal="center" vertical="center"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bottom/>
      </border>
    </dxf>
    <dxf>
      <numFmt numFmtId="13" formatCode="0%"/>
    </dxf>
    <dxf>
      <font>
        <b/>
      </font>
    </dxf>
    <dxf>
      <font>
        <b/>
      </font>
    </dxf>
    <dxf>
      <font>
        <b/>
      </font>
    </dxf>
    <dxf>
      <numFmt numFmtId="13"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[Excel_Practice_Dataset.xlsx]PivotTable!PivotTable1</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Rockwell Nova" panose="020605030202050204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Rockwell Nova" panose="020605030202050204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045667746939471"/>
                  <c:h val="0.19972789115646258"/>
                </c:manualLayout>
              </c15:layout>
            </c:ext>
          </c:extLst>
        </c:dLbl>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Rockwell Nova" panose="020605030202050204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211848148007577"/>
                  <c:h val="0.19972789115646258"/>
                </c:manualLayout>
              </c15:layout>
            </c:ext>
          </c:extLst>
        </c:dLbl>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Rockwell Nova" panose="020605030202050204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0099116151567945"/>
                  <c:h val="0.19972789115646258"/>
                </c:manualLayout>
              </c15:layout>
            </c:ext>
          </c:extLst>
        </c:dLbl>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Rockwell Nova" panose="020605030202050204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879487345871353"/>
                  <c:h val="0.19972789115646258"/>
                </c:manualLayout>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914221709547452"/>
          <c:y val="0.14493813273340833"/>
          <c:w val="0.75565607990276384"/>
          <c:h val="0.85506201364201562"/>
        </c:manualLayout>
      </c:layout>
      <c:bar3DChart>
        <c:barDir val="bar"/>
        <c:grouping val="stacked"/>
        <c:varyColors val="0"/>
        <c:ser>
          <c:idx val="0"/>
          <c:order val="0"/>
          <c:tx>
            <c:strRef>
              <c:f>PivotTable!$C$4</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0"/>
              <c:showLegendKey val="0"/>
              <c:showVal val="1"/>
              <c:showCatName val="0"/>
              <c:showSerName val="0"/>
              <c:showPercent val="0"/>
              <c:showBubbleSize val="0"/>
              <c:extLst>
                <c:ext xmlns:c15="http://schemas.microsoft.com/office/drawing/2012/chart" uri="{CE6537A1-D6FC-4f65-9D91-7224C49458BB}">
                  <c15:layout>
                    <c:manualLayout>
                      <c:w val="0.23879487345871353"/>
                      <c:h val="0.19972789115646258"/>
                    </c:manualLayout>
                  </c15:layout>
                </c:ext>
                <c:ext xmlns:c16="http://schemas.microsoft.com/office/drawing/2014/chart" uri="{C3380CC4-5D6E-409C-BE32-E72D297353CC}">
                  <c16:uniqueId val="{00000003-ED7A-4ACC-AF49-E07484FB615A}"/>
                </c:ext>
              </c:extLst>
            </c:dLbl>
            <c:dLbl>
              <c:idx val="1"/>
              <c:showLegendKey val="0"/>
              <c:showVal val="1"/>
              <c:showCatName val="0"/>
              <c:showSerName val="0"/>
              <c:showPercent val="0"/>
              <c:showBubbleSize val="0"/>
              <c:extLst>
                <c:ext xmlns:c15="http://schemas.microsoft.com/office/drawing/2012/chart" uri="{CE6537A1-D6FC-4f65-9D91-7224C49458BB}">
                  <c15:layout>
                    <c:manualLayout>
                      <c:w val="0.30099116151567945"/>
                      <c:h val="0.19972789115646258"/>
                    </c:manualLayout>
                  </c15:layout>
                </c:ext>
                <c:ext xmlns:c16="http://schemas.microsoft.com/office/drawing/2014/chart" uri="{C3380CC4-5D6E-409C-BE32-E72D297353CC}">
                  <c16:uniqueId val="{00000002-ED7A-4ACC-AF49-E07484FB615A}"/>
                </c:ext>
              </c:extLst>
            </c:dLbl>
            <c:dLbl>
              <c:idx val="2"/>
              <c:showLegendKey val="0"/>
              <c:showVal val="1"/>
              <c:showCatName val="0"/>
              <c:showSerName val="0"/>
              <c:showPercent val="0"/>
              <c:showBubbleSize val="0"/>
              <c:extLst>
                <c:ext xmlns:c15="http://schemas.microsoft.com/office/drawing/2012/chart" uri="{CE6537A1-D6FC-4f65-9D91-7224C49458BB}">
                  <c15:layout>
                    <c:manualLayout>
                      <c:w val="0.26211848148007577"/>
                      <c:h val="0.19972789115646258"/>
                    </c:manualLayout>
                  </c15:layout>
                </c:ext>
                <c:ext xmlns:c16="http://schemas.microsoft.com/office/drawing/2014/chart" uri="{C3380CC4-5D6E-409C-BE32-E72D297353CC}">
                  <c16:uniqueId val="{00000001-ED7A-4ACC-AF49-E07484FB615A}"/>
                </c:ext>
              </c:extLst>
            </c:dLbl>
            <c:dLbl>
              <c:idx val="3"/>
              <c:showLegendKey val="0"/>
              <c:showVal val="1"/>
              <c:showCatName val="0"/>
              <c:showSerName val="0"/>
              <c:showPercent val="0"/>
              <c:showBubbleSize val="0"/>
              <c:extLst>
                <c:ext xmlns:c15="http://schemas.microsoft.com/office/drawing/2012/chart" uri="{CE6537A1-D6FC-4f65-9D91-7224C49458BB}">
                  <c15:layout>
                    <c:manualLayout>
                      <c:w val="0.25045667746939471"/>
                      <c:h val="0.19972789115646258"/>
                    </c:manualLayout>
                  </c15:layout>
                </c:ext>
                <c:ext xmlns:c16="http://schemas.microsoft.com/office/drawing/2014/chart" uri="{C3380CC4-5D6E-409C-BE32-E72D297353CC}">
                  <c16:uniqueId val="{00000000-ED7A-4ACC-AF49-E07484FB615A}"/>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Rockwell Nova" panose="02060503020205020403"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PivotTable!$B$5:$B$9</c:f>
              <c:strCache>
                <c:ptCount val="4"/>
                <c:pt idx="0">
                  <c:v>East</c:v>
                </c:pt>
                <c:pt idx="1">
                  <c:v>North</c:v>
                </c:pt>
                <c:pt idx="2">
                  <c:v>South</c:v>
                </c:pt>
                <c:pt idx="3">
                  <c:v>West</c:v>
                </c:pt>
              </c:strCache>
            </c:strRef>
          </c:cat>
          <c:val>
            <c:numRef>
              <c:f>PivotTable!$C$5:$C$9</c:f>
              <c:numCache>
                <c:formatCode>"$"#,##0.00</c:formatCode>
                <c:ptCount val="4"/>
                <c:pt idx="0">
                  <c:v>35062.910000000003</c:v>
                </c:pt>
                <c:pt idx="1">
                  <c:v>58690.05999999999</c:v>
                </c:pt>
                <c:pt idx="2">
                  <c:v>73286.34</c:v>
                </c:pt>
                <c:pt idx="3">
                  <c:v>78602.989999999991</c:v>
                </c:pt>
              </c:numCache>
            </c:numRef>
          </c:val>
          <c:extLst>
            <c:ext xmlns:c16="http://schemas.microsoft.com/office/drawing/2014/chart" uri="{C3380CC4-5D6E-409C-BE32-E72D297353CC}">
              <c16:uniqueId val="{00000000-A771-483C-9D9B-B9DCDBF18A20}"/>
            </c:ext>
          </c:extLst>
        </c:ser>
        <c:dLbls>
          <c:showLegendKey val="0"/>
          <c:showVal val="1"/>
          <c:showCatName val="0"/>
          <c:showSerName val="0"/>
          <c:showPercent val="0"/>
          <c:showBubbleSize val="0"/>
        </c:dLbls>
        <c:gapWidth val="150"/>
        <c:shape val="box"/>
        <c:axId val="1012541103"/>
        <c:axId val="1012538223"/>
        <c:axId val="0"/>
      </c:bar3DChart>
      <c:catAx>
        <c:axId val="101254110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Rockwell Nova" panose="02060503020205020403" pitchFamily="18" charset="0"/>
                <a:ea typeface="+mn-ea"/>
                <a:cs typeface="+mn-cs"/>
              </a:defRPr>
            </a:pPr>
            <a:endParaRPr lang="en-US"/>
          </a:p>
        </c:txPr>
        <c:crossAx val="1012538223"/>
        <c:crosses val="autoZero"/>
        <c:auto val="1"/>
        <c:lblAlgn val="ctr"/>
        <c:lblOffset val="100"/>
        <c:noMultiLvlLbl val="0"/>
      </c:catAx>
      <c:valAx>
        <c:axId val="1012538223"/>
        <c:scaling>
          <c:orientation val="minMax"/>
        </c:scaling>
        <c:delete val="1"/>
        <c:axPos val="b"/>
        <c:majorGridlines>
          <c:spPr>
            <a:ln w="9525" cap="flat" cmpd="sng" algn="ctr">
              <a:noFill/>
              <a:round/>
            </a:ln>
            <a:effectLst/>
          </c:spPr>
        </c:majorGridlines>
        <c:numFmt formatCode="&quot;$&quot;#,##0.00" sourceLinked="1"/>
        <c:majorTickMark val="none"/>
        <c:minorTickMark val="none"/>
        <c:tickLblPos val="nextTo"/>
        <c:crossAx val="1012541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[Excel_Practice_Dataset.xlsx]PivotTable!PivotTable14</c:name>
    <c:fmtId val="9"/>
  </c:pivotSource>
  <c:chart>
    <c:autoTitleDeleted val="1"/>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gradFill>
              <a:gsLst>
                <a:gs pos="0">
                  <a:schemeClr val="accent6">
                    <a:lumMod val="50000"/>
                  </a:schemeClr>
                </a:gs>
                <a:gs pos="74000">
                  <a:schemeClr val="accent6">
                    <a:lumMod val="60000"/>
                    <a:lumOff val="40000"/>
                  </a:schemeClr>
                </a:gs>
                <a:gs pos="83000">
                  <a:schemeClr val="accent6">
                    <a:lumMod val="60000"/>
                    <a:lumOff val="40000"/>
                  </a:schemeClr>
                </a:gs>
                <a:gs pos="100000">
                  <a:schemeClr val="accent6"/>
                </a:gs>
              </a:gsLst>
              <a:lin ang="5400000" scaled="1"/>
            </a:gradFill>
            <a:round/>
          </a:ln>
          <a:effectLst>
            <a:outerShdw dist="25400" dir="2700000" algn="tl" rotWithShape="0">
              <a:schemeClr val="accent1"/>
            </a:outerShdw>
          </a:effectLst>
        </c:spPr>
        <c:marker>
          <c:symbol val="circle"/>
          <c:size val="5"/>
          <c:spPr>
            <a:noFill/>
            <a:ln w="22225" cmpd="dbl">
              <a:solidFill>
                <a:schemeClr val="accent6">
                  <a:lumMod val="5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Rockwell Nova" panose="02060503020205020403"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6">
                <a:lumMod val="75000"/>
              </a:schemeClr>
            </a:solidFill>
            <a:round/>
          </a:ln>
          <a:effectLst>
            <a:outerShdw dist="25400" dir="2700000" algn="tl" rotWithShape="0">
              <a:schemeClr val="accent1"/>
            </a:outerShdw>
          </a:effectLst>
        </c:spPr>
        <c:marker>
          <c:symbol val="circle"/>
          <c:size val="5"/>
          <c:spPr>
            <a:noFill/>
            <a:ln w="22225" cmpd="dbl">
              <a:solidFill>
                <a:schemeClr val="accent6">
                  <a:lumMod val="5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Rockwell Nova" panose="02060503020205020403"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25331175148510415"/>
                  <c:h val="0.22850109118186343"/>
                </c:manualLayout>
              </c15:layout>
            </c:ext>
          </c:extLst>
        </c:dLbl>
      </c:pivotFmt>
      <c:pivotFmt>
        <c:idx val="6"/>
        <c:spPr>
          <a:ln w="34925" cap="rnd">
            <a:solidFill>
              <a:schemeClr val="accent6">
                <a:lumMod val="75000"/>
              </a:schemeClr>
            </a:solidFill>
            <a:round/>
          </a:ln>
          <a:effectLst>
            <a:outerShdw dist="25400" dir="2700000" algn="tl" rotWithShape="0">
              <a:schemeClr val="accent1"/>
            </a:outerShdw>
          </a:effectLst>
        </c:spPr>
        <c:marker>
          <c:symbol val="circle"/>
          <c:size val="5"/>
          <c:spPr>
            <a:noFill/>
            <a:ln w="22225" cmpd="dbl">
              <a:solidFill>
                <a:schemeClr val="accent6">
                  <a:lumMod val="50000"/>
                </a:schemeClr>
              </a:solidFill>
              <a:round/>
            </a:ln>
            <a:effectLst/>
          </c:spPr>
        </c:marke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ckwell Nova" panose="02060503020205020403"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25331175148510415"/>
                  <c:h val="0.20284602854916917"/>
                </c:manualLayout>
              </c15:layout>
            </c:ext>
          </c:extLst>
        </c:dLbl>
      </c:pivotFmt>
      <c:pivotFmt>
        <c:idx val="7"/>
        <c:spPr>
          <a:ln w="34925" cap="rnd">
            <a:solidFill>
              <a:schemeClr val="accent6">
                <a:lumMod val="75000"/>
              </a:schemeClr>
            </a:solidFill>
            <a:round/>
          </a:ln>
          <a:effectLst>
            <a:outerShdw dist="25400" dir="2700000" algn="tl" rotWithShape="0">
              <a:schemeClr val="accent1"/>
            </a:outerShdw>
          </a:effectLst>
        </c:spPr>
        <c:marker>
          <c:symbol val="circle"/>
          <c:size val="5"/>
          <c:spPr>
            <a:noFill/>
            <a:ln w="22225" cmpd="dbl">
              <a:solidFill>
                <a:schemeClr val="accent6">
                  <a:lumMod val="5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Rockwell Nova" panose="02060503020205020403"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24086562768326344"/>
                  <c:h val="0.22850109118186343"/>
                </c:manualLayout>
              </c15:layout>
            </c:ext>
          </c:extLst>
        </c:dLbl>
      </c:pivotFmt>
      <c:pivotFmt>
        <c:idx val="8"/>
        <c:spPr>
          <a:ln w="34925" cap="rnd">
            <a:gradFill>
              <a:gsLst>
                <a:gs pos="0">
                  <a:schemeClr val="accent6">
                    <a:lumMod val="50000"/>
                  </a:schemeClr>
                </a:gs>
                <a:gs pos="74000">
                  <a:schemeClr val="accent6">
                    <a:lumMod val="60000"/>
                    <a:lumOff val="40000"/>
                  </a:schemeClr>
                </a:gs>
                <a:gs pos="83000">
                  <a:schemeClr val="accent6">
                    <a:lumMod val="60000"/>
                    <a:lumOff val="40000"/>
                  </a:schemeClr>
                </a:gs>
                <a:gs pos="100000">
                  <a:schemeClr val="accent6"/>
                </a:gs>
              </a:gsLst>
              <a:lin ang="5400000" scaled="1"/>
            </a:gradFill>
            <a:round/>
          </a:ln>
          <a:effectLst>
            <a:outerShdw dist="25400" dir="2700000" algn="tl" rotWithShape="0">
              <a:schemeClr val="accent1"/>
            </a:outerShdw>
          </a:effectLst>
        </c:spPr>
        <c:marker>
          <c:symbol val="circle"/>
          <c:size val="5"/>
          <c:spPr>
            <a:noFill/>
            <a:ln w="22225" cmpd="dbl">
              <a:solidFill>
                <a:schemeClr val="accent6">
                  <a:lumMod val="5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Rockwell Nova" panose="02060503020205020403"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24086562768326344"/>
                  <c:h val="0.22850109118186343"/>
                </c:manualLayout>
              </c15:layout>
            </c:ext>
          </c:extLst>
        </c:dLbl>
      </c:pivotFmt>
    </c:pivotFmts>
    <c:plotArea>
      <c:layout/>
      <c:lineChart>
        <c:grouping val="standard"/>
        <c:varyColors val="0"/>
        <c:ser>
          <c:idx val="0"/>
          <c:order val="0"/>
          <c:tx>
            <c:strRef>
              <c:f>PivotTable!$I$4</c:f>
              <c:strCache>
                <c:ptCount val="1"/>
                <c:pt idx="0">
                  <c:v>Total</c:v>
                </c:pt>
              </c:strCache>
            </c:strRef>
          </c:tx>
          <c:spPr>
            <a:ln w="34925" cap="rnd">
              <a:gradFill>
                <a:gsLst>
                  <a:gs pos="0">
                    <a:schemeClr val="accent6">
                      <a:lumMod val="50000"/>
                    </a:schemeClr>
                  </a:gs>
                  <a:gs pos="74000">
                    <a:schemeClr val="accent6">
                      <a:lumMod val="60000"/>
                      <a:lumOff val="40000"/>
                    </a:schemeClr>
                  </a:gs>
                  <a:gs pos="83000">
                    <a:schemeClr val="accent6">
                      <a:lumMod val="60000"/>
                      <a:lumOff val="40000"/>
                    </a:schemeClr>
                  </a:gs>
                  <a:gs pos="100000">
                    <a:schemeClr val="accent6"/>
                  </a:gs>
                </a:gsLst>
                <a:lin ang="5400000" scaled="1"/>
              </a:gradFill>
              <a:round/>
            </a:ln>
            <a:effectLst>
              <a:outerShdw dist="25400" dir="2700000" algn="tl" rotWithShape="0">
                <a:schemeClr val="accent1"/>
              </a:outerShdw>
            </a:effectLst>
          </c:spPr>
          <c:marker>
            <c:symbol val="circle"/>
            <c:size val="5"/>
            <c:spPr>
              <a:noFill/>
              <a:ln w="22225" cmpd="dbl">
                <a:solidFill>
                  <a:schemeClr val="accent6">
                    <a:lumMod val="50000"/>
                  </a:schemeClr>
                </a:solidFill>
                <a:round/>
              </a:ln>
              <a:effectLst/>
            </c:spPr>
          </c:marker>
          <c:dPt>
            <c:idx val="0"/>
            <c:marker>
              <c:symbol val="circle"/>
              <c:size val="5"/>
              <c:spPr>
                <a:noFill/>
                <a:ln w="22225" cmpd="dbl">
                  <a:solidFill>
                    <a:schemeClr val="accent6">
                      <a:lumMod val="50000"/>
                    </a:schemeClr>
                  </a:solidFill>
                  <a:round/>
                </a:ln>
                <a:effectLst/>
              </c:spPr>
            </c:marker>
            <c:bubble3D val="0"/>
            <c:spPr>
              <a:ln w="34925" cap="rnd">
                <a:solidFill>
                  <a:schemeClr val="accent6">
                    <a:lumMod val="75000"/>
                  </a:schemeClr>
                </a:solidFill>
                <a:round/>
              </a:ln>
              <a:effectLst>
                <a:outerShdw dist="25400" dir="2700000" algn="tl" rotWithShape="0">
                  <a:schemeClr val="accent1"/>
                </a:outerShdw>
              </a:effectLst>
            </c:spPr>
            <c:extLst>
              <c:ext xmlns:c16="http://schemas.microsoft.com/office/drawing/2014/chart" uri="{C3380CC4-5D6E-409C-BE32-E72D297353CC}">
                <c16:uniqueId val="{00000004-FBEA-45AF-BAC6-A42BB1599AF8}"/>
              </c:ext>
            </c:extLst>
          </c:dPt>
          <c:dPt>
            <c:idx val="1"/>
            <c:marker>
              <c:symbol val="circle"/>
              <c:size val="5"/>
              <c:spPr>
                <a:noFill/>
                <a:ln w="22225" cmpd="dbl">
                  <a:solidFill>
                    <a:schemeClr val="accent6">
                      <a:lumMod val="50000"/>
                    </a:schemeClr>
                  </a:solidFill>
                  <a:round/>
                </a:ln>
                <a:effectLst/>
              </c:spPr>
            </c:marker>
            <c:bubble3D val="0"/>
            <c:spPr>
              <a:ln w="34925" cap="rnd">
                <a:solidFill>
                  <a:schemeClr val="accent6">
                    <a:lumMod val="75000"/>
                  </a:schemeClr>
                </a:solidFill>
                <a:round/>
              </a:ln>
              <a:effectLst>
                <a:outerShdw dist="25400" dir="2700000" algn="tl" rotWithShape="0">
                  <a:schemeClr val="accent1"/>
                </a:outerShdw>
              </a:effectLst>
            </c:spPr>
            <c:extLst>
              <c:ext xmlns:c16="http://schemas.microsoft.com/office/drawing/2014/chart" uri="{C3380CC4-5D6E-409C-BE32-E72D297353CC}">
                <c16:uniqueId val="{00000003-FBEA-45AF-BAC6-A42BB1599AF8}"/>
              </c:ext>
            </c:extLst>
          </c:dPt>
          <c:dPt>
            <c:idx val="2"/>
            <c:marker>
              <c:symbol val="circle"/>
              <c:size val="5"/>
              <c:spPr>
                <a:noFill/>
                <a:ln w="22225" cmpd="dbl">
                  <a:solidFill>
                    <a:schemeClr val="accent6">
                      <a:lumMod val="50000"/>
                    </a:schemeClr>
                  </a:solidFill>
                  <a:round/>
                </a:ln>
                <a:effectLst/>
              </c:spPr>
            </c:marker>
            <c:bubble3D val="0"/>
            <c:spPr>
              <a:ln w="34925" cap="rnd">
                <a:solidFill>
                  <a:schemeClr val="accent6">
                    <a:lumMod val="75000"/>
                  </a:schemeClr>
                </a:solidFill>
                <a:round/>
              </a:ln>
              <a:effectLst>
                <a:outerShdw dist="25400" dir="2700000" algn="tl" rotWithShape="0">
                  <a:schemeClr val="accent1"/>
                </a:outerShdw>
              </a:effectLst>
            </c:spPr>
            <c:extLst>
              <c:ext xmlns:c16="http://schemas.microsoft.com/office/drawing/2014/chart" uri="{C3380CC4-5D6E-409C-BE32-E72D297353CC}">
                <c16:uniqueId val="{00000002-FBEA-45AF-BAC6-A42BB1599AF8}"/>
              </c:ext>
            </c:extLst>
          </c:dPt>
          <c:dPt>
            <c:idx val="3"/>
            <c:marker>
              <c:symbol val="circle"/>
              <c:size val="5"/>
              <c:spPr>
                <a:noFill/>
                <a:ln w="22225" cmpd="dbl">
                  <a:solidFill>
                    <a:schemeClr val="accent6">
                      <a:lumMod val="50000"/>
                    </a:schemeClr>
                  </a:solidFill>
                  <a:round/>
                </a:ln>
                <a:effectLst/>
              </c:spPr>
            </c:marker>
            <c:bubble3D val="0"/>
            <c:spPr>
              <a:ln w="34925" cap="rnd">
                <a:gradFill>
                  <a:gsLst>
                    <a:gs pos="0">
                      <a:schemeClr val="accent6">
                        <a:lumMod val="50000"/>
                      </a:schemeClr>
                    </a:gs>
                    <a:gs pos="74000">
                      <a:schemeClr val="accent6">
                        <a:lumMod val="60000"/>
                        <a:lumOff val="40000"/>
                      </a:schemeClr>
                    </a:gs>
                    <a:gs pos="83000">
                      <a:schemeClr val="accent6">
                        <a:lumMod val="60000"/>
                        <a:lumOff val="40000"/>
                      </a:schemeClr>
                    </a:gs>
                    <a:gs pos="100000">
                      <a:schemeClr val="accent6"/>
                    </a:gs>
                  </a:gsLst>
                  <a:lin ang="5400000" scaled="1"/>
                </a:gradFill>
                <a:round/>
              </a:ln>
              <a:effectLst>
                <a:outerShdw dist="25400" dir="2700000" algn="tl" rotWithShape="0">
                  <a:schemeClr val="accent1"/>
                </a:outerShdw>
              </a:effectLst>
            </c:spPr>
            <c:extLst>
              <c:ext xmlns:c16="http://schemas.microsoft.com/office/drawing/2014/chart" uri="{C3380CC4-5D6E-409C-BE32-E72D297353CC}">
                <c16:uniqueId val="{00000001-FBEA-45AF-BAC6-A42BB1599AF8}"/>
              </c:ext>
            </c:extLst>
          </c:dPt>
          <c:dLbls>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ckwell Nova" panose="02060503020205020403"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25331175148510415"/>
                      <c:h val="0.20284602854916917"/>
                    </c:manualLayout>
                  </c15:layout>
                </c:ext>
                <c:ext xmlns:c16="http://schemas.microsoft.com/office/drawing/2014/chart" uri="{C3380CC4-5D6E-409C-BE32-E72D297353CC}">
                  <c16:uniqueId val="{00000004-FBEA-45AF-BAC6-A42BB1599AF8}"/>
                </c:ext>
              </c:extLst>
            </c:dLbl>
            <c:dLbl>
              <c:idx val="1"/>
              <c:dLblPos val="t"/>
              <c:showLegendKey val="0"/>
              <c:showVal val="1"/>
              <c:showCatName val="0"/>
              <c:showSerName val="0"/>
              <c:showPercent val="0"/>
              <c:showBubbleSize val="0"/>
              <c:extLst>
                <c:ext xmlns:c15="http://schemas.microsoft.com/office/drawing/2012/chart" uri="{CE6537A1-D6FC-4f65-9D91-7224C49458BB}">
                  <c15:layout>
                    <c:manualLayout>
                      <c:w val="0.24086562768326344"/>
                      <c:h val="0.22850109118186343"/>
                    </c:manualLayout>
                  </c15:layout>
                </c:ext>
                <c:ext xmlns:c16="http://schemas.microsoft.com/office/drawing/2014/chart" uri="{C3380CC4-5D6E-409C-BE32-E72D297353CC}">
                  <c16:uniqueId val="{00000003-FBEA-45AF-BAC6-A42BB1599AF8}"/>
                </c:ext>
              </c:extLst>
            </c:dLbl>
            <c:dLbl>
              <c:idx val="2"/>
              <c:dLblPos val="t"/>
              <c:showLegendKey val="0"/>
              <c:showVal val="1"/>
              <c:showCatName val="0"/>
              <c:showSerName val="0"/>
              <c:showPercent val="0"/>
              <c:showBubbleSize val="0"/>
              <c:extLst>
                <c:ext xmlns:c15="http://schemas.microsoft.com/office/drawing/2012/chart" uri="{CE6537A1-D6FC-4f65-9D91-7224C49458BB}">
                  <c15:layout>
                    <c:manualLayout>
                      <c:w val="0.25331175148510415"/>
                      <c:h val="0.22850109118186343"/>
                    </c:manualLayout>
                  </c15:layout>
                </c:ext>
                <c:ext xmlns:c16="http://schemas.microsoft.com/office/drawing/2014/chart" uri="{C3380CC4-5D6E-409C-BE32-E72D297353CC}">
                  <c16:uniqueId val="{00000002-FBEA-45AF-BAC6-A42BB1599AF8}"/>
                </c:ext>
              </c:extLst>
            </c:dLbl>
            <c:dLbl>
              <c:idx val="3"/>
              <c:dLblPos val="t"/>
              <c:showLegendKey val="0"/>
              <c:showVal val="1"/>
              <c:showCatName val="0"/>
              <c:showSerName val="0"/>
              <c:showPercent val="0"/>
              <c:showBubbleSize val="0"/>
              <c:extLst>
                <c:ext xmlns:c15="http://schemas.microsoft.com/office/drawing/2012/chart" uri="{CE6537A1-D6FC-4f65-9D91-7224C49458BB}">
                  <c15:layout>
                    <c:manualLayout>
                      <c:w val="0.24086562768326344"/>
                      <c:h val="0.22850109118186343"/>
                    </c:manualLayout>
                  </c15:layout>
                </c:ext>
                <c:ext xmlns:c16="http://schemas.microsoft.com/office/drawing/2014/chart" uri="{C3380CC4-5D6E-409C-BE32-E72D297353CC}">
                  <c16:uniqueId val="{00000001-FBEA-45AF-BAC6-A42BB1599AF8}"/>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Rockwell Nova" panose="02060503020205020403" pitchFamily="18"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PivotTable!$H$5:$H$9</c:f>
              <c:strCache>
                <c:ptCount val="4"/>
                <c:pt idx="0">
                  <c:v>Jan-2025</c:v>
                </c:pt>
                <c:pt idx="1">
                  <c:v>Feb-2025</c:v>
                </c:pt>
                <c:pt idx="2">
                  <c:v>Mar-2025</c:v>
                </c:pt>
                <c:pt idx="3">
                  <c:v>Apr-2025</c:v>
                </c:pt>
              </c:strCache>
            </c:strRef>
          </c:cat>
          <c:val>
            <c:numRef>
              <c:f>PivotTable!$I$5:$I$9</c:f>
              <c:numCache>
                <c:formatCode>"$"#,##0.00</c:formatCode>
                <c:ptCount val="4"/>
                <c:pt idx="0">
                  <c:v>99778.180000000022</c:v>
                </c:pt>
                <c:pt idx="1">
                  <c:v>63093.34</c:v>
                </c:pt>
                <c:pt idx="2">
                  <c:v>59877.509999999995</c:v>
                </c:pt>
                <c:pt idx="3">
                  <c:v>22893.269999999997</c:v>
                </c:pt>
              </c:numCache>
            </c:numRef>
          </c:val>
          <c:smooth val="1"/>
          <c:extLst>
            <c:ext xmlns:c16="http://schemas.microsoft.com/office/drawing/2014/chart" uri="{C3380CC4-5D6E-409C-BE32-E72D297353CC}">
              <c16:uniqueId val="{00000000-FBEA-45AF-BAC6-A42BB1599AF8}"/>
            </c:ext>
          </c:extLst>
        </c:ser>
        <c:dLbls>
          <c:dLblPos val="t"/>
          <c:showLegendKey val="0"/>
          <c:showVal val="1"/>
          <c:showCatName val="0"/>
          <c:showSerName val="0"/>
          <c:showPercent val="0"/>
          <c:showBubbleSize val="0"/>
        </c:dLbls>
        <c:dropLines>
          <c:spPr>
            <a:ln w="9525" cap="flat" cmpd="sng" algn="ctr">
              <a:solidFill>
                <a:schemeClr val="bg1">
                  <a:lumMod val="65000"/>
                </a:schemeClr>
              </a:solidFill>
              <a:round/>
            </a:ln>
            <a:effectLst/>
          </c:spPr>
        </c:dropLines>
        <c:marker val="1"/>
        <c:smooth val="0"/>
        <c:axId val="1012576143"/>
        <c:axId val="1012560303"/>
      </c:lineChart>
      <c:catAx>
        <c:axId val="1012576143"/>
        <c:scaling>
          <c:orientation val="minMax"/>
        </c:scaling>
        <c:delete val="0"/>
        <c:axPos val="b"/>
        <c:numFmt formatCode="General" sourceLinked="1"/>
        <c:majorTickMark val="out"/>
        <c:minorTickMark val="none"/>
        <c:tickLblPos val="nextTo"/>
        <c:spPr>
          <a:solidFill>
            <a:schemeClr val="bg1">
              <a:lumMod val="95000"/>
            </a:schemeClr>
          </a:solidFill>
          <a:ln w="12700" cap="flat" cmpd="sng" algn="ctr">
            <a:solidFill>
              <a:schemeClr val="bg1">
                <a:lumMod val="65000"/>
              </a:schemeClr>
            </a:solidFill>
            <a:round/>
          </a:ln>
          <a:effectLst/>
        </c:spPr>
        <c:txPr>
          <a:bodyPr rot="-60000000" spcFirstLastPara="1" vertOverflow="ellipsis" vert="horz" wrap="square" anchor="ctr" anchorCtr="1"/>
          <a:lstStyle/>
          <a:p>
            <a:pPr>
              <a:defRPr sz="900" b="1" i="0" u="none" strike="noStrike" kern="1200" spc="100" baseline="0">
                <a:solidFill>
                  <a:schemeClr val="tx1"/>
                </a:solidFill>
                <a:latin typeface="+mn-lt"/>
                <a:ea typeface="+mn-ea"/>
                <a:cs typeface="+mn-cs"/>
              </a:defRPr>
            </a:pPr>
            <a:endParaRPr lang="en-US"/>
          </a:p>
        </c:txPr>
        <c:crossAx val="1012560303"/>
        <c:crosses val="autoZero"/>
        <c:auto val="1"/>
        <c:lblAlgn val="ctr"/>
        <c:lblOffset val="100"/>
        <c:tickLblSkip val="1"/>
        <c:noMultiLvlLbl val="0"/>
      </c:catAx>
      <c:valAx>
        <c:axId val="1012560303"/>
        <c:scaling>
          <c:orientation val="minMax"/>
        </c:scaling>
        <c:delete val="1"/>
        <c:axPos val="l"/>
        <c:numFmt formatCode="&quot;$&quot;#,##0.00" sourceLinked="1"/>
        <c:majorTickMark val="out"/>
        <c:minorTickMark val="none"/>
        <c:tickLblPos val="nextTo"/>
        <c:crossAx val="10125761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[Excel_Practice_Dataset.xlsx]PivotTable!PivotTable8</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Rockwell Nova" panose="02060503020205020403"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6">
                  <a:tint val="65000"/>
                  <a:shade val="51000"/>
                  <a:satMod val="130000"/>
                </a:schemeClr>
              </a:gs>
              <a:gs pos="80000">
                <a:schemeClr val="accent6">
                  <a:tint val="65000"/>
                  <a:shade val="93000"/>
                  <a:satMod val="130000"/>
                </a:schemeClr>
              </a:gs>
              <a:gs pos="100000">
                <a:schemeClr val="accent6">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6">
                  <a:shade val="65000"/>
                  <a:shade val="51000"/>
                  <a:satMod val="130000"/>
                </a:schemeClr>
              </a:gs>
              <a:gs pos="80000">
                <a:schemeClr val="accent6">
                  <a:shade val="65000"/>
                  <a:shade val="93000"/>
                  <a:satMod val="130000"/>
                </a:schemeClr>
              </a:gs>
              <a:gs pos="100000">
                <a:schemeClr val="accent6">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PivotTable!$F$19</c:f>
              <c:strCache>
                <c:ptCount val="1"/>
                <c:pt idx="0">
                  <c:v>Total</c:v>
                </c:pt>
              </c:strCache>
            </c:strRef>
          </c:tx>
          <c:dPt>
            <c:idx val="0"/>
            <c:bubble3D val="0"/>
            <c:spPr>
              <a:gradFill rotWithShape="1">
                <a:gsLst>
                  <a:gs pos="0">
                    <a:schemeClr val="accent6">
                      <a:tint val="65000"/>
                      <a:shade val="51000"/>
                      <a:satMod val="130000"/>
                    </a:schemeClr>
                  </a:gs>
                  <a:gs pos="80000">
                    <a:schemeClr val="accent6">
                      <a:tint val="65000"/>
                      <a:shade val="93000"/>
                      <a:satMod val="130000"/>
                    </a:schemeClr>
                  </a:gs>
                  <a:gs pos="100000">
                    <a:schemeClr val="accent6">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17E9-4732-8633-E3283C4AE34A}"/>
              </c:ext>
            </c:extLst>
          </c:dPt>
          <c:dPt>
            <c:idx val="1"/>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17E9-4732-8633-E3283C4AE34A}"/>
              </c:ext>
            </c:extLst>
          </c:dPt>
          <c:dPt>
            <c:idx val="2"/>
            <c:bubble3D val="0"/>
            <c:spPr>
              <a:gradFill rotWithShape="1">
                <a:gsLst>
                  <a:gs pos="0">
                    <a:schemeClr val="accent6">
                      <a:shade val="65000"/>
                      <a:shade val="51000"/>
                      <a:satMod val="130000"/>
                    </a:schemeClr>
                  </a:gs>
                  <a:gs pos="80000">
                    <a:schemeClr val="accent6">
                      <a:shade val="65000"/>
                      <a:shade val="93000"/>
                      <a:satMod val="130000"/>
                    </a:schemeClr>
                  </a:gs>
                  <a:gs pos="100000">
                    <a:schemeClr val="accent6">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17E9-4732-8633-E3283C4AE34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Rockwell Nova" panose="02060503020205020403" pitchFamily="18" charset="0"/>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PivotTable!$E$20:$E$23</c:f>
              <c:strCache>
                <c:ptCount val="3"/>
                <c:pt idx="0">
                  <c:v>Card</c:v>
                </c:pt>
                <c:pt idx="1">
                  <c:v>Cash</c:v>
                </c:pt>
                <c:pt idx="2">
                  <c:v>Online</c:v>
                </c:pt>
              </c:strCache>
            </c:strRef>
          </c:cat>
          <c:val>
            <c:numRef>
              <c:f>PivotTable!$F$20:$F$23</c:f>
              <c:numCache>
                <c:formatCode>0%</c:formatCode>
                <c:ptCount val="3"/>
                <c:pt idx="0">
                  <c:v>0.2835022306825819</c:v>
                </c:pt>
                <c:pt idx="1">
                  <c:v>0.37666676301272217</c:v>
                </c:pt>
                <c:pt idx="2">
                  <c:v>0.33983100630469587</c:v>
                </c:pt>
              </c:numCache>
            </c:numRef>
          </c:val>
          <c:extLst>
            <c:ext xmlns:c16="http://schemas.microsoft.com/office/drawing/2014/chart" uri="{C3380CC4-5D6E-409C-BE32-E72D297353CC}">
              <c16:uniqueId val="{00000006-17E9-4732-8633-E3283C4AE34A}"/>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245489</xdr:colOff>
      <xdr:row>5</xdr:row>
      <xdr:rowOff>15378</xdr:rowOff>
    </xdr:from>
    <xdr:to>
      <xdr:col>6</xdr:col>
      <xdr:colOff>333375</xdr:colOff>
      <xdr:row>9</xdr:row>
      <xdr:rowOff>152401</xdr:rowOff>
    </xdr:to>
    <xdr:grpSp>
      <xdr:nvGrpSpPr>
        <xdr:cNvPr id="3" name="Group 2">
          <a:extLst>
            <a:ext uri="{FF2B5EF4-FFF2-40B4-BE49-F238E27FC236}">
              <a16:creationId xmlns:a16="http://schemas.microsoft.com/office/drawing/2014/main" id="{0FF89F6C-40AA-6DD0-10E3-6B45C38BE147}"/>
            </a:ext>
          </a:extLst>
        </xdr:cNvPr>
        <xdr:cNvGrpSpPr/>
      </xdr:nvGrpSpPr>
      <xdr:grpSpPr>
        <a:xfrm>
          <a:off x="2074289" y="967878"/>
          <a:ext cx="1916686" cy="899023"/>
          <a:chOff x="2512439" y="1005978"/>
          <a:chExt cx="2040512" cy="899023"/>
        </a:xfrm>
      </xdr:grpSpPr>
      <xdr:sp macro="" textlink="">
        <xdr:nvSpPr>
          <xdr:cNvPr id="2" name="Rectangle: Rounded Corners 1">
            <a:extLst>
              <a:ext uri="{FF2B5EF4-FFF2-40B4-BE49-F238E27FC236}">
                <a16:creationId xmlns:a16="http://schemas.microsoft.com/office/drawing/2014/main" id="{A3F80E5C-2E34-F201-1841-0E66915DB6CD}"/>
              </a:ext>
            </a:extLst>
          </xdr:cNvPr>
          <xdr:cNvSpPr/>
        </xdr:nvSpPr>
        <xdr:spPr>
          <a:xfrm>
            <a:off x="2512439" y="1025029"/>
            <a:ext cx="2040512" cy="879972"/>
          </a:xfrm>
          <a:prstGeom prst="round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Top Corners Rounded 9">
            <a:extLst>
              <a:ext uri="{FF2B5EF4-FFF2-40B4-BE49-F238E27FC236}">
                <a16:creationId xmlns:a16="http://schemas.microsoft.com/office/drawing/2014/main" id="{9213A9B6-3028-643C-FA95-AAD95AF55873}"/>
              </a:ext>
            </a:extLst>
          </xdr:cNvPr>
          <xdr:cNvSpPr/>
        </xdr:nvSpPr>
        <xdr:spPr>
          <a:xfrm>
            <a:off x="2521963" y="1005978"/>
            <a:ext cx="2017892" cy="233728"/>
          </a:xfrm>
          <a:prstGeom prst="round2SameRect">
            <a:avLst>
              <a:gd name="adj1" fmla="val 50000"/>
              <a:gd name="adj2" fmla="val 0"/>
            </a:avLst>
          </a:prstGeom>
          <a:solidFill>
            <a:schemeClr val="accent6">
              <a:lumMod val="60000"/>
              <a:lumOff val="40000"/>
            </a:schemeClr>
          </a:solidFill>
          <a:ln>
            <a:solidFill>
              <a:schemeClr val="accent6">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baseline="0">
                <a:solidFill>
                  <a:sysClr val="windowText" lastClr="000000"/>
                </a:solidFill>
                <a:latin typeface="Rockwell Nova" panose="020F0502020204030204" pitchFamily="18" charset="0"/>
                <a:cs typeface="Mangal Pro" panose="020B0502040204020203" pitchFamily="2" charset="0"/>
              </a:rPr>
              <a:t>Net Sales</a:t>
            </a:r>
          </a:p>
        </xdr:txBody>
      </xdr:sp>
    </xdr:grpSp>
    <xdr:clientData/>
  </xdr:twoCellAnchor>
  <xdr:twoCellAnchor>
    <xdr:from>
      <xdr:col>1</xdr:col>
      <xdr:colOff>209551</xdr:colOff>
      <xdr:row>0</xdr:row>
      <xdr:rowOff>152400</xdr:rowOff>
    </xdr:from>
    <xdr:to>
      <xdr:col>17</xdr:col>
      <xdr:colOff>542925</xdr:colOff>
      <xdr:row>4</xdr:row>
      <xdr:rowOff>66675</xdr:rowOff>
    </xdr:to>
    <xdr:sp macro="" textlink="">
      <xdr:nvSpPr>
        <xdr:cNvPr id="9" name="Rectangle: Rounded Corners 8">
          <a:extLst>
            <a:ext uri="{FF2B5EF4-FFF2-40B4-BE49-F238E27FC236}">
              <a16:creationId xmlns:a16="http://schemas.microsoft.com/office/drawing/2014/main" id="{8984C3DE-0503-440F-8916-18111B47E4BB}"/>
            </a:ext>
          </a:extLst>
        </xdr:cNvPr>
        <xdr:cNvSpPr/>
      </xdr:nvSpPr>
      <xdr:spPr>
        <a:xfrm>
          <a:off x="819151" y="152400"/>
          <a:ext cx="10086974" cy="676275"/>
        </a:xfrm>
        <a:prstGeom prst="round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1" baseline="0">
              <a:solidFill>
                <a:sysClr val="windowText" lastClr="000000"/>
              </a:solidFill>
              <a:latin typeface="Rockwell Nova" panose="02060503020205020403" pitchFamily="18" charset="0"/>
            </a:rPr>
            <a:t> January to April Sales Performance</a:t>
          </a:r>
        </a:p>
        <a:p>
          <a:pPr algn="l"/>
          <a:r>
            <a:rPr lang="en-US" sz="1200" b="1" baseline="0">
              <a:solidFill>
                <a:schemeClr val="accent6">
                  <a:lumMod val="75000"/>
                </a:schemeClr>
              </a:solidFill>
              <a:latin typeface="Rockwell Nova" panose="02060503020205020403" pitchFamily="18" charset="0"/>
            </a:rPr>
            <a:t>  Year 2025 </a:t>
          </a:r>
        </a:p>
      </xdr:txBody>
    </xdr:sp>
    <xdr:clientData/>
  </xdr:twoCellAnchor>
  <xdr:twoCellAnchor editAs="oneCell">
    <xdr:from>
      <xdr:col>16</xdr:col>
      <xdr:colOff>371475</xdr:colOff>
      <xdr:row>1</xdr:row>
      <xdr:rowOff>28575</xdr:rowOff>
    </xdr:from>
    <xdr:to>
      <xdr:col>17</xdr:col>
      <xdr:colOff>295275</xdr:colOff>
      <xdr:row>3</xdr:row>
      <xdr:rowOff>180975</xdr:rowOff>
    </xdr:to>
    <xdr:pic>
      <xdr:nvPicPr>
        <xdr:cNvPr id="12" name="Graphic 11" descr="Information with solid fill">
          <a:extLst>
            <a:ext uri="{FF2B5EF4-FFF2-40B4-BE49-F238E27FC236}">
              <a16:creationId xmlns:a16="http://schemas.microsoft.com/office/drawing/2014/main" id="{CBD93CC4-BC03-B671-97CE-F22F057EFF7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125075" y="219075"/>
          <a:ext cx="533400" cy="533400"/>
        </a:xfrm>
        <a:prstGeom prst="rect">
          <a:avLst/>
        </a:prstGeom>
      </xdr:spPr>
    </xdr:pic>
    <xdr:clientData/>
  </xdr:twoCellAnchor>
  <xdr:twoCellAnchor>
    <xdr:from>
      <xdr:col>3</xdr:col>
      <xdr:colOff>381000</xdr:colOff>
      <xdr:row>7</xdr:row>
      <xdr:rowOff>0</xdr:rowOff>
    </xdr:from>
    <xdr:to>
      <xdr:col>6</xdr:col>
      <xdr:colOff>190500</xdr:colOff>
      <xdr:row>9</xdr:row>
      <xdr:rowOff>36457</xdr:rowOff>
    </xdr:to>
    <xdr:sp macro="" textlink="Netsales1">
      <xdr:nvSpPr>
        <xdr:cNvPr id="13" name="TextBox 12">
          <a:extLst>
            <a:ext uri="{FF2B5EF4-FFF2-40B4-BE49-F238E27FC236}">
              <a16:creationId xmlns:a16="http://schemas.microsoft.com/office/drawing/2014/main" id="{4D5690CC-EA24-4D3E-8F14-2374382BEAC0}"/>
            </a:ext>
          </a:extLst>
        </xdr:cNvPr>
        <xdr:cNvSpPr txBox="1"/>
      </xdr:nvSpPr>
      <xdr:spPr>
        <a:xfrm>
          <a:off x="2209800" y="1333500"/>
          <a:ext cx="1638300" cy="417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CC6D83-1160-4AC4-B222-25AE60F58AAF}" type="TxLink">
            <a:rPr lang="en-US" sz="2800" b="1" i="0" u="none" strike="noStrike">
              <a:solidFill>
                <a:srgbClr val="000000"/>
              </a:solidFill>
              <a:latin typeface="Rockwell Nova" panose="02060503020205020403" pitchFamily="18" charset="0"/>
              <a:cs typeface="Calibri"/>
            </a:rPr>
            <a:pPr algn="ctr"/>
            <a:t>$237 K</a:t>
          </a:fld>
          <a:endParaRPr lang="en-US" sz="2800">
            <a:latin typeface="Rockwell Nova" panose="02060503020205020403" pitchFamily="18" charset="0"/>
          </a:endParaRPr>
        </a:p>
      </xdr:txBody>
    </xdr:sp>
    <xdr:clientData/>
  </xdr:twoCellAnchor>
  <xdr:twoCellAnchor>
    <xdr:from>
      <xdr:col>6</xdr:col>
      <xdr:colOff>416819</xdr:colOff>
      <xdr:row>5</xdr:row>
      <xdr:rowOff>116620</xdr:rowOff>
    </xdr:from>
    <xdr:to>
      <xdr:col>9</xdr:col>
      <xdr:colOff>246183</xdr:colOff>
      <xdr:row>9</xdr:row>
      <xdr:rowOff>152401</xdr:rowOff>
    </xdr:to>
    <xdr:grpSp>
      <xdr:nvGrpSpPr>
        <xdr:cNvPr id="30" name="Group 29">
          <a:extLst>
            <a:ext uri="{FF2B5EF4-FFF2-40B4-BE49-F238E27FC236}">
              <a16:creationId xmlns:a16="http://schemas.microsoft.com/office/drawing/2014/main" id="{3B01585E-9107-3F21-8C82-E284408CCA6A}"/>
            </a:ext>
          </a:extLst>
        </xdr:cNvPr>
        <xdr:cNvGrpSpPr/>
      </xdr:nvGrpSpPr>
      <xdr:grpSpPr>
        <a:xfrm>
          <a:off x="4074419" y="1069120"/>
          <a:ext cx="1658164" cy="797781"/>
          <a:chOff x="4593219" y="1129678"/>
          <a:chExt cx="1656143" cy="805478"/>
        </a:xfrm>
      </xdr:grpSpPr>
      <xdr:sp macro="" textlink="">
        <xdr:nvSpPr>
          <xdr:cNvPr id="6" name="Rectangle: Rounded Corners 5">
            <a:extLst>
              <a:ext uri="{FF2B5EF4-FFF2-40B4-BE49-F238E27FC236}">
                <a16:creationId xmlns:a16="http://schemas.microsoft.com/office/drawing/2014/main" id="{01CC3D7F-D0CC-45C3-A6C8-713FE3927A38}"/>
              </a:ext>
            </a:extLst>
          </xdr:cNvPr>
          <xdr:cNvSpPr/>
        </xdr:nvSpPr>
        <xdr:spPr>
          <a:xfrm>
            <a:off x="4593219" y="1129678"/>
            <a:ext cx="1656143" cy="805478"/>
          </a:xfrm>
          <a:prstGeom prst="round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TotalSales">
        <xdr:nvSpPr>
          <xdr:cNvPr id="14" name="TextBox 13">
            <a:extLst>
              <a:ext uri="{FF2B5EF4-FFF2-40B4-BE49-F238E27FC236}">
                <a16:creationId xmlns:a16="http://schemas.microsoft.com/office/drawing/2014/main" id="{E640B111-D19F-44C0-A7B4-54864F44D788}"/>
              </a:ext>
            </a:extLst>
          </xdr:cNvPr>
          <xdr:cNvSpPr txBox="1"/>
        </xdr:nvSpPr>
        <xdr:spPr>
          <a:xfrm>
            <a:off x="4633480" y="1432695"/>
            <a:ext cx="1571148" cy="421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18FE3D-6240-4D0D-9C5B-2AD4C2BB1F5A}" type="TxLink">
              <a:rPr lang="en-US" sz="2000" b="0" i="0" u="none" strike="noStrike">
                <a:solidFill>
                  <a:schemeClr val="tx1"/>
                </a:solidFill>
                <a:latin typeface="Rockwell Nova" panose="02060503020205020403" pitchFamily="18" charset="0"/>
                <a:cs typeface="Calibri"/>
              </a:rPr>
              <a:pPr algn="ctr"/>
              <a:t>$246 K</a:t>
            </a:fld>
            <a:endParaRPr lang="en-US" sz="4800">
              <a:solidFill>
                <a:schemeClr val="tx1"/>
              </a:solidFill>
              <a:latin typeface="Rockwell Nova" panose="02060503020205020403" pitchFamily="18" charset="0"/>
            </a:endParaRPr>
          </a:p>
        </xdr:txBody>
      </xdr:sp>
      <xdr:sp macro="" textlink="TotalSales">
        <xdr:nvSpPr>
          <xdr:cNvPr id="15" name="TextBox 14">
            <a:extLst>
              <a:ext uri="{FF2B5EF4-FFF2-40B4-BE49-F238E27FC236}">
                <a16:creationId xmlns:a16="http://schemas.microsoft.com/office/drawing/2014/main" id="{6C430D3F-C0CE-4595-A3C0-899AF42CD461}"/>
              </a:ext>
            </a:extLst>
          </xdr:cNvPr>
          <xdr:cNvSpPr txBox="1"/>
        </xdr:nvSpPr>
        <xdr:spPr>
          <a:xfrm>
            <a:off x="4747781" y="1143096"/>
            <a:ext cx="1389783" cy="3832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6">
                    <a:lumMod val="50000"/>
                  </a:schemeClr>
                </a:solidFill>
                <a:latin typeface="Rockwell Nova" panose="02060503020205020403" pitchFamily="18" charset="0"/>
              </a:rPr>
              <a:t>Total</a:t>
            </a:r>
            <a:r>
              <a:rPr lang="en-US" sz="1200" baseline="0">
                <a:solidFill>
                  <a:schemeClr val="accent6">
                    <a:lumMod val="50000"/>
                  </a:schemeClr>
                </a:solidFill>
                <a:latin typeface="Rockwell Nova" panose="02060503020205020403" pitchFamily="18" charset="0"/>
              </a:rPr>
              <a:t> Sales</a:t>
            </a:r>
            <a:endParaRPr lang="en-US" sz="1200">
              <a:solidFill>
                <a:schemeClr val="accent6">
                  <a:lumMod val="50000"/>
                </a:schemeClr>
              </a:solidFill>
              <a:latin typeface="Rockwell Nova" panose="02060503020205020403" pitchFamily="18" charset="0"/>
            </a:endParaRPr>
          </a:p>
        </xdr:txBody>
      </xdr:sp>
    </xdr:grpSp>
    <xdr:clientData/>
  </xdr:twoCellAnchor>
  <xdr:twoCellAnchor>
    <xdr:from>
      <xdr:col>9</xdr:col>
      <xdr:colOff>329627</xdr:colOff>
      <xdr:row>5</xdr:row>
      <xdr:rowOff>116620</xdr:rowOff>
    </xdr:from>
    <xdr:to>
      <xdr:col>12</xdr:col>
      <xdr:colOff>78586</xdr:colOff>
      <xdr:row>9</xdr:row>
      <xdr:rowOff>152401</xdr:rowOff>
    </xdr:to>
    <xdr:grpSp>
      <xdr:nvGrpSpPr>
        <xdr:cNvPr id="29" name="Group 28">
          <a:extLst>
            <a:ext uri="{FF2B5EF4-FFF2-40B4-BE49-F238E27FC236}">
              <a16:creationId xmlns:a16="http://schemas.microsoft.com/office/drawing/2014/main" id="{AEA5665C-D255-CFD8-D160-1E9D289AD5EB}"/>
            </a:ext>
          </a:extLst>
        </xdr:cNvPr>
        <xdr:cNvGrpSpPr/>
      </xdr:nvGrpSpPr>
      <xdr:grpSpPr>
        <a:xfrm>
          <a:off x="5816027" y="1069120"/>
          <a:ext cx="1577759" cy="797781"/>
          <a:chOff x="6544976" y="1129678"/>
          <a:chExt cx="1658646" cy="805478"/>
        </a:xfrm>
      </xdr:grpSpPr>
      <xdr:sp macro="" textlink="">
        <xdr:nvSpPr>
          <xdr:cNvPr id="4" name="Rectangle: Rounded Corners 3">
            <a:extLst>
              <a:ext uri="{FF2B5EF4-FFF2-40B4-BE49-F238E27FC236}">
                <a16:creationId xmlns:a16="http://schemas.microsoft.com/office/drawing/2014/main" id="{0591EA68-5338-4D68-9578-8970280A292F}"/>
              </a:ext>
            </a:extLst>
          </xdr:cNvPr>
          <xdr:cNvSpPr/>
        </xdr:nvSpPr>
        <xdr:spPr>
          <a:xfrm>
            <a:off x="6544976" y="1129678"/>
            <a:ext cx="1656143" cy="805478"/>
          </a:xfrm>
          <a:prstGeom prst="round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TotalSales">
        <xdr:nvSpPr>
          <xdr:cNvPr id="16" name="TextBox 15">
            <a:extLst>
              <a:ext uri="{FF2B5EF4-FFF2-40B4-BE49-F238E27FC236}">
                <a16:creationId xmlns:a16="http://schemas.microsoft.com/office/drawing/2014/main" id="{25248C9D-0644-4494-99AF-83A7C4127773}"/>
              </a:ext>
            </a:extLst>
          </xdr:cNvPr>
          <xdr:cNvSpPr txBox="1"/>
        </xdr:nvSpPr>
        <xdr:spPr>
          <a:xfrm>
            <a:off x="6556663" y="1133571"/>
            <a:ext cx="1646959" cy="4232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6">
                    <a:lumMod val="50000"/>
                  </a:schemeClr>
                </a:solidFill>
                <a:latin typeface="Rockwell Nova" panose="02060503020205020403" pitchFamily="18" charset="0"/>
              </a:rPr>
              <a:t>Average</a:t>
            </a:r>
            <a:r>
              <a:rPr lang="en-US" sz="1200" baseline="0">
                <a:solidFill>
                  <a:schemeClr val="accent6">
                    <a:lumMod val="50000"/>
                  </a:schemeClr>
                </a:solidFill>
                <a:latin typeface="Rockwell Nova" panose="02060503020205020403" pitchFamily="18" charset="0"/>
              </a:rPr>
              <a:t> Discount</a:t>
            </a:r>
          </a:p>
        </xdr:txBody>
      </xdr:sp>
      <xdr:sp macro="" textlink="AvgDiscount">
        <xdr:nvSpPr>
          <xdr:cNvPr id="17" name="TextBox 16">
            <a:extLst>
              <a:ext uri="{FF2B5EF4-FFF2-40B4-BE49-F238E27FC236}">
                <a16:creationId xmlns:a16="http://schemas.microsoft.com/office/drawing/2014/main" id="{2C8083EB-31FB-4057-BBD1-ECB6A3137507}"/>
              </a:ext>
            </a:extLst>
          </xdr:cNvPr>
          <xdr:cNvSpPr txBox="1"/>
        </xdr:nvSpPr>
        <xdr:spPr>
          <a:xfrm>
            <a:off x="6547139" y="1489845"/>
            <a:ext cx="1646959" cy="375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8EE8C1-816D-474A-8789-53C55877FAD6}" type="TxLink">
              <a:rPr lang="en-US" sz="2000" b="0" i="0" u="none" strike="noStrike">
                <a:solidFill>
                  <a:srgbClr val="000000"/>
                </a:solidFill>
                <a:latin typeface="Rockwell Nova" panose="02060503020205020403" pitchFamily="18" charset="0"/>
                <a:cs typeface="Calibri"/>
              </a:rPr>
              <a:pPr algn="ctr"/>
              <a:t>$82</a:t>
            </a:fld>
            <a:endParaRPr lang="en-US" sz="8000">
              <a:solidFill>
                <a:schemeClr val="tx1"/>
              </a:solidFill>
              <a:latin typeface="Rockwell Nova" panose="02060503020205020403" pitchFamily="18" charset="0"/>
            </a:endParaRPr>
          </a:p>
        </xdr:txBody>
      </xdr:sp>
    </xdr:grpSp>
    <xdr:clientData/>
  </xdr:twoCellAnchor>
  <xdr:twoCellAnchor>
    <xdr:from>
      <xdr:col>14</xdr:col>
      <xdr:colOff>438150</xdr:colOff>
      <xdr:row>4</xdr:row>
      <xdr:rowOff>93861</xdr:rowOff>
    </xdr:from>
    <xdr:to>
      <xdr:col>18</xdr:col>
      <xdr:colOff>19050</xdr:colOff>
      <xdr:row>9</xdr:row>
      <xdr:rowOff>152401</xdr:rowOff>
    </xdr:to>
    <xdr:grpSp>
      <xdr:nvGrpSpPr>
        <xdr:cNvPr id="27" name="Group 26">
          <a:extLst>
            <a:ext uri="{FF2B5EF4-FFF2-40B4-BE49-F238E27FC236}">
              <a16:creationId xmlns:a16="http://schemas.microsoft.com/office/drawing/2014/main" id="{6AD1EE3F-71AE-5BC1-23F7-61BF5DE21F30}"/>
            </a:ext>
          </a:extLst>
        </xdr:cNvPr>
        <xdr:cNvGrpSpPr/>
      </xdr:nvGrpSpPr>
      <xdr:grpSpPr>
        <a:xfrm>
          <a:off x="8972550" y="855861"/>
          <a:ext cx="2019300" cy="1011040"/>
          <a:chOff x="8924059" y="893521"/>
          <a:chExt cx="2005446" cy="1020661"/>
        </a:xfrm>
      </xdr:grpSpPr>
      <xdr:sp macro="" textlink="">
        <xdr:nvSpPr>
          <xdr:cNvPr id="7" name="Rectangle: Rounded Corners 6">
            <a:extLst>
              <a:ext uri="{FF2B5EF4-FFF2-40B4-BE49-F238E27FC236}">
                <a16:creationId xmlns:a16="http://schemas.microsoft.com/office/drawing/2014/main" id="{FA71584A-2F1D-4A5E-B763-AF9C2262F93D}"/>
              </a:ext>
            </a:extLst>
          </xdr:cNvPr>
          <xdr:cNvSpPr/>
        </xdr:nvSpPr>
        <xdr:spPr>
          <a:xfrm>
            <a:off x="8952634" y="1110628"/>
            <a:ext cx="1913659" cy="803554"/>
          </a:xfrm>
          <a:prstGeom prst="round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TotalSales">
        <xdr:nvSpPr>
          <xdr:cNvPr id="18" name="TextBox 17">
            <a:extLst>
              <a:ext uri="{FF2B5EF4-FFF2-40B4-BE49-F238E27FC236}">
                <a16:creationId xmlns:a16="http://schemas.microsoft.com/office/drawing/2014/main" id="{27D9E2FD-8082-45F3-ABF2-48CAB040C6FA}"/>
              </a:ext>
            </a:extLst>
          </xdr:cNvPr>
          <xdr:cNvSpPr txBox="1"/>
        </xdr:nvSpPr>
        <xdr:spPr>
          <a:xfrm>
            <a:off x="8924059" y="893521"/>
            <a:ext cx="2005446" cy="857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aseline="0">
                <a:solidFill>
                  <a:schemeClr val="accent6">
                    <a:lumMod val="50000"/>
                  </a:schemeClr>
                </a:solidFill>
                <a:latin typeface="Rockwell Nova" panose="02060503020205020403" pitchFamily="18" charset="0"/>
              </a:rPr>
              <a:t>Average Order Value</a:t>
            </a:r>
          </a:p>
        </xdr:txBody>
      </xdr:sp>
      <xdr:sp macro="" textlink="AOV">
        <xdr:nvSpPr>
          <xdr:cNvPr id="19" name="TextBox 18">
            <a:extLst>
              <a:ext uri="{FF2B5EF4-FFF2-40B4-BE49-F238E27FC236}">
                <a16:creationId xmlns:a16="http://schemas.microsoft.com/office/drawing/2014/main" id="{1D80E74B-F137-428C-B3BD-6354F122CF00}"/>
              </a:ext>
            </a:extLst>
          </xdr:cNvPr>
          <xdr:cNvSpPr txBox="1"/>
        </xdr:nvSpPr>
        <xdr:spPr>
          <a:xfrm>
            <a:off x="9120620" y="1460998"/>
            <a:ext cx="1650423" cy="375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1CD11A8-D190-4296-B0C5-2C82E9460FE2}" type="TxLink">
              <a:rPr lang="en-US" sz="2000" b="0" i="0" u="none" strike="noStrike">
                <a:solidFill>
                  <a:srgbClr val="000000"/>
                </a:solidFill>
                <a:latin typeface="Rockwell Nova" panose="02060503020205020403" pitchFamily="18" charset="0"/>
                <a:cs typeface="Calibri"/>
              </a:rPr>
              <a:pPr algn="ctr"/>
              <a:t>$2,456.42</a:t>
            </a:fld>
            <a:endParaRPr lang="en-US" sz="16600" b="0">
              <a:solidFill>
                <a:schemeClr val="tx1"/>
              </a:solidFill>
              <a:latin typeface="Rockwell Nova" panose="02060503020205020403" pitchFamily="18" charset="0"/>
            </a:endParaRPr>
          </a:p>
        </xdr:txBody>
      </xdr:sp>
    </xdr:grpSp>
    <xdr:clientData/>
  </xdr:twoCellAnchor>
  <xdr:twoCellAnchor>
    <xdr:from>
      <xdr:col>3</xdr:col>
      <xdr:colOff>209549</xdr:colOff>
      <xdr:row>10</xdr:row>
      <xdr:rowOff>135502</xdr:rowOff>
    </xdr:from>
    <xdr:to>
      <xdr:col>8</xdr:col>
      <xdr:colOff>428625</xdr:colOff>
      <xdr:row>20</xdr:row>
      <xdr:rowOff>179624</xdr:rowOff>
    </xdr:to>
    <xdr:grpSp>
      <xdr:nvGrpSpPr>
        <xdr:cNvPr id="33" name="Group 32">
          <a:extLst>
            <a:ext uri="{FF2B5EF4-FFF2-40B4-BE49-F238E27FC236}">
              <a16:creationId xmlns:a16="http://schemas.microsoft.com/office/drawing/2014/main" id="{A7B22185-9D98-0248-2778-D0AA99B57977}"/>
            </a:ext>
          </a:extLst>
        </xdr:cNvPr>
        <xdr:cNvGrpSpPr/>
      </xdr:nvGrpSpPr>
      <xdr:grpSpPr>
        <a:xfrm>
          <a:off x="2038349" y="2040502"/>
          <a:ext cx="3267076" cy="1949122"/>
          <a:chOff x="2038349" y="2040502"/>
          <a:chExt cx="3267076" cy="1949122"/>
        </a:xfrm>
      </xdr:grpSpPr>
      <xdr:sp macro="" textlink="">
        <xdr:nvSpPr>
          <xdr:cNvPr id="5" name="Rectangle: Rounded Corners 4">
            <a:extLst>
              <a:ext uri="{FF2B5EF4-FFF2-40B4-BE49-F238E27FC236}">
                <a16:creationId xmlns:a16="http://schemas.microsoft.com/office/drawing/2014/main" id="{090F07EA-2D2B-4787-A868-2B146DDA1306}"/>
              </a:ext>
            </a:extLst>
          </xdr:cNvPr>
          <xdr:cNvSpPr/>
        </xdr:nvSpPr>
        <xdr:spPr>
          <a:xfrm>
            <a:off x="2066925" y="2047875"/>
            <a:ext cx="3086100" cy="1941749"/>
          </a:xfrm>
          <a:prstGeom prst="roundRect">
            <a:avLst>
              <a:gd name="adj" fmla="val 9243"/>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0" name="Chart 19">
            <a:extLst>
              <a:ext uri="{FF2B5EF4-FFF2-40B4-BE49-F238E27FC236}">
                <a16:creationId xmlns:a16="http://schemas.microsoft.com/office/drawing/2014/main" id="{8CD8A34F-9AC3-4BC2-99EE-EFC35DBA5ABD}"/>
              </a:ext>
            </a:extLst>
          </xdr:cNvPr>
          <xdr:cNvGraphicFramePr>
            <a:graphicFrameLocks/>
          </xdr:cNvGraphicFramePr>
        </xdr:nvGraphicFramePr>
        <xdr:xfrm>
          <a:off x="2038349" y="2085976"/>
          <a:ext cx="3267076" cy="1866900"/>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21" name="Rectangle: Top Corners Rounded 20">
            <a:extLst>
              <a:ext uri="{FF2B5EF4-FFF2-40B4-BE49-F238E27FC236}">
                <a16:creationId xmlns:a16="http://schemas.microsoft.com/office/drawing/2014/main" id="{F5B7A0A6-07C7-CBA7-509E-56333D8D0FFF}"/>
              </a:ext>
            </a:extLst>
          </xdr:cNvPr>
          <xdr:cNvSpPr/>
        </xdr:nvSpPr>
        <xdr:spPr>
          <a:xfrm>
            <a:off x="2066009" y="2040502"/>
            <a:ext cx="3091839" cy="313249"/>
          </a:xfrm>
          <a:prstGeom prst="round2SameRect">
            <a:avLst>
              <a:gd name="adj1" fmla="val 50000"/>
              <a:gd name="adj2" fmla="val 0"/>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tx1"/>
                </a:solidFill>
                <a:latin typeface="Rockwell Nova" panose="02060503020205020403" pitchFamily="18" charset="0"/>
              </a:rPr>
              <a:t>Total</a:t>
            </a:r>
            <a:r>
              <a:rPr lang="en-US" sz="1200" baseline="0">
                <a:solidFill>
                  <a:schemeClr val="tx1"/>
                </a:solidFill>
                <a:latin typeface="Rockwell Nova" panose="02060503020205020403" pitchFamily="18" charset="0"/>
              </a:rPr>
              <a:t> Sales per Region</a:t>
            </a:r>
            <a:endParaRPr lang="en-US" sz="1200">
              <a:solidFill>
                <a:schemeClr val="tx1"/>
              </a:solidFill>
              <a:latin typeface="Rockwell Nova" panose="02060503020205020403" pitchFamily="18" charset="0"/>
            </a:endParaRPr>
          </a:p>
        </xdr:txBody>
      </xdr:sp>
    </xdr:grpSp>
    <xdr:clientData/>
  </xdr:twoCellAnchor>
  <xdr:twoCellAnchor>
    <xdr:from>
      <xdr:col>8</xdr:col>
      <xdr:colOff>451352</xdr:colOff>
      <xdr:row>10</xdr:row>
      <xdr:rowOff>123440</xdr:rowOff>
    </xdr:from>
    <xdr:to>
      <xdr:col>13</xdr:col>
      <xdr:colOff>510671</xdr:colOff>
      <xdr:row>20</xdr:row>
      <xdr:rowOff>170098</xdr:rowOff>
    </xdr:to>
    <xdr:grpSp>
      <xdr:nvGrpSpPr>
        <xdr:cNvPr id="32" name="Group 31">
          <a:extLst>
            <a:ext uri="{FF2B5EF4-FFF2-40B4-BE49-F238E27FC236}">
              <a16:creationId xmlns:a16="http://schemas.microsoft.com/office/drawing/2014/main" id="{AB196E96-B618-B341-12B5-AD6D3EFDEFBC}"/>
            </a:ext>
          </a:extLst>
        </xdr:cNvPr>
        <xdr:cNvGrpSpPr/>
      </xdr:nvGrpSpPr>
      <xdr:grpSpPr>
        <a:xfrm>
          <a:off x="5328152" y="2028440"/>
          <a:ext cx="3107319" cy="1951658"/>
          <a:chOff x="5273738" y="2047490"/>
          <a:chExt cx="3107319" cy="1951658"/>
        </a:xfrm>
      </xdr:grpSpPr>
      <xdr:sp macro="" textlink="">
        <xdr:nvSpPr>
          <xdr:cNvPr id="24" name="Rectangle: Rounded Corners 23">
            <a:extLst>
              <a:ext uri="{FF2B5EF4-FFF2-40B4-BE49-F238E27FC236}">
                <a16:creationId xmlns:a16="http://schemas.microsoft.com/office/drawing/2014/main" id="{93F3FF23-8B85-40F1-9EC4-7A1E5E67A2E1}"/>
              </a:ext>
            </a:extLst>
          </xdr:cNvPr>
          <xdr:cNvSpPr/>
        </xdr:nvSpPr>
        <xdr:spPr>
          <a:xfrm>
            <a:off x="5294958" y="2057399"/>
            <a:ext cx="3086099" cy="1941749"/>
          </a:xfrm>
          <a:prstGeom prst="roundRect">
            <a:avLst>
              <a:gd name="adj" fmla="val 9243"/>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5" name="Chart 24">
            <a:extLst>
              <a:ext uri="{FF2B5EF4-FFF2-40B4-BE49-F238E27FC236}">
                <a16:creationId xmlns:a16="http://schemas.microsoft.com/office/drawing/2014/main" id="{48BEFEB2-4AF6-4810-B5D0-80303EA68780}"/>
              </a:ext>
            </a:extLst>
          </xdr:cNvPr>
          <xdr:cNvGraphicFramePr>
            <a:graphicFrameLocks/>
          </xdr:cNvGraphicFramePr>
        </xdr:nvGraphicFramePr>
        <xdr:xfrm>
          <a:off x="5273738" y="2436986"/>
          <a:ext cx="3076292" cy="1495708"/>
        </xdr:xfrm>
        <a:graphic>
          <a:graphicData uri="http://schemas.openxmlformats.org/drawingml/2006/chart">
            <c:chart xmlns:c="http://schemas.openxmlformats.org/drawingml/2006/chart" xmlns:r="http://schemas.openxmlformats.org/officeDocument/2006/relationships" r:id="rId4"/>
          </a:graphicData>
        </a:graphic>
      </xdr:graphicFrame>
      <xdr:sp macro="" textlink="TotalSales">
        <xdr:nvSpPr>
          <xdr:cNvPr id="26" name="TextBox 25">
            <a:extLst>
              <a:ext uri="{FF2B5EF4-FFF2-40B4-BE49-F238E27FC236}">
                <a16:creationId xmlns:a16="http://schemas.microsoft.com/office/drawing/2014/main" id="{9C27F9A8-40D0-4302-B65E-C0C4616D40DD}"/>
              </a:ext>
            </a:extLst>
          </xdr:cNvPr>
          <xdr:cNvSpPr txBox="1"/>
        </xdr:nvSpPr>
        <xdr:spPr>
          <a:xfrm>
            <a:off x="5831898" y="2047490"/>
            <a:ext cx="2117436" cy="419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aseline="0">
                <a:solidFill>
                  <a:schemeClr val="accent6">
                    <a:lumMod val="50000"/>
                  </a:schemeClr>
                </a:solidFill>
                <a:latin typeface="Rockwell Nova" panose="02060503020205020403" pitchFamily="18" charset="0"/>
              </a:rPr>
              <a:t>Total Sales per Month</a:t>
            </a:r>
          </a:p>
        </xdr:txBody>
      </xdr:sp>
    </xdr:grpSp>
    <xdr:clientData/>
  </xdr:twoCellAnchor>
  <xdr:twoCellAnchor editAs="oneCell">
    <xdr:from>
      <xdr:col>1</xdr:col>
      <xdr:colOff>233317</xdr:colOff>
      <xdr:row>4</xdr:row>
      <xdr:rowOff>148039</xdr:rowOff>
    </xdr:from>
    <xdr:to>
      <xdr:col>3</xdr:col>
      <xdr:colOff>99789</xdr:colOff>
      <xdr:row>20</xdr:row>
      <xdr:rowOff>152401</xdr:rowOff>
    </xdr:to>
    <mc:AlternateContent xmlns:mc="http://schemas.openxmlformats.org/markup-compatibility/2006" xmlns:a14="http://schemas.microsoft.com/office/drawing/2010/main">
      <mc:Choice Requires="a14">
        <xdr:graphicFrame macro="">
          <xdr:nvGraphicFramePr>
            <xdr:cNvPr id="23" name="Product">
              <a:extLst>
                <a:ext uri="{FF2B5EF4-FFF2-40B4-BE49-F238E27FC236}">
                  <a16:creationId xmlns:a16="http://schemas.microsoft.com/office/drawing/2014/main" id="{40639304-6690-4D83-8CAF-94EE52DD176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42917" y="910039"/>
              <a:ext cx="1085672" cy="30523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533399</xdr:colOff>
      <xdr:row>9</xdr:row>
      <xdr:rowOff>161924</xdr:rowOff>
    </xdr:from>
    <xdr:to>
      <xdr:col>19</xdr:col>
      <xdr:colOff>171450</xdr:colOff>
      <xdr:row>21</xdr:row>
      <xdr:rowOff>180975</xdr:rowOff>
    </xdr:to>
    <xdr:grpSp>
      <xdr:nvGrpSpPr>
        <xdr:cNvPr id="22" name="Group 21">
          <a:extLst>
            <a:ext uri="{FF2B5EF4-FFF2-40B4-BE49-F238E27FC236}">
              <a16:creationId xmlns:a16="http://schemas.microsoft.com/office/drawing/2014/main" id="{155A8CCF-DFC4-EFE6-CE86-B79A4772B6A6}"/>
            </a:ext>
          </a:extLst>
        </xdr:cNvPr>
        <xdr:cNvGrpSpPr/>
      </xdr:nvGrpSpPr>
      <xdr:grpSpPr>
        <a:xfrm>
          <a:off x="7848599" y="1876424"/>
          <a:ext cx="3905251" cy="2305051"/>
          <a:chOff x="7848599" y="1876424"/>
          <a:chExt cx="3905251" cy="2305051"/>
        </a:xfrm>
      </xdr:grpSpPr>
      <xdr:sp macro="" textlink="">
        <xdr:nvSpPr>
          <xdr:cNvPr id="11" name="Rectangle: Rounded Corners 10">
            <a:extLst>
              <a:ext uri="{FF2B5EF4-FFF2-40B4-BE49-F238E27FC236}">
                <a16:creationId xmlns:a16="http://schemas.microsoft.com/office/drawing/2014/main" id="{075F8AF1-CB5C-434D-92D7-D91B737E49C5}"/>
              </a:ext>
            </a:extLst>
          </xdr:cNvPr>
          <xdr:cNvSpPr/>
        </xdr:nvSpPr>
        <xdr:spPr>
          <a:xfrm>
            <a:off x="8629650" y="2048063"/>
            <a:ext cx="2318347" cy="1941749"/>
          </a:xfrm>
          <a:prstGeom prst="roundRect">
            <a:avLst>
              <a:gd name="adj" fmla="val 9243"/>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8" name="Chart 27">
            <a:extLst>
              <a:ext uri="{FF2B5EF4-FFF2-40B4-BE49-F238E27FC236}">
                <a16:creationId xmlns:a16="http://schemas.microsoft.com/office/drawing/2014/main" id="{B7A3A6AF-62C7-44E9-8E82-6CF28F43A49E}"/>
              </a:ext>
            </a:extLst>
          </xdr:cNvPr>
          <xdr:cNvGraphicFramePr>
            <a:graphicFrameLocks/>
          </xdr:cNvGraphicFramePr>
        </xdr:nvGraphicFramePr>
        <xdr:xfrm>
          <a:off x="7848599" y="1876424"/>
          <a:ext cx="3905251" cy="2305051"/>
        </xdr:xfrm>
        <a:graphic>
          <a:graphicData uri="http://schemas.openxmlformats.org/drawingml/2006/chart">
            <c:chart xmlns:c="http://schemas.openxmlformats.org/drawingml/2006/chart" xmlns:r="http://schemas.openxmlformats.org/officeDocument/2006/relationships" r:id="rId5"/>
          </a:graphicData>
        </a:graphic>
      </xdr:graphicFrame>
      <xdr:sp macro="" textlink="TotalSales">
        <xdr:nvSpPr>
          <xdr:cNvPr id="31" name="TextBox 30">
            <a:extLst>
              <a:ext uri="{FF2B5EF4-FFF2-40B4-BE49-F238E27FC236}">
                <a16:creationId xmlns:a16="http://schemas.microsoft.com/office/drawing/2014/main" id="{86432B94-99E5-4957-A5A6-682EFAD0876C}"/>
              </a:ext>
            </a:extLst>
          </xdr:cNvPr>
          <xdr:cNvSpPr txBox="1"/>
        </xdr:nvSpPr>
        <xdr:spPr>
          <a:xfrm>
            <a:off x="9089448" y="2695190"/>
            <a:ext cx="1397577" cy="667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aseline="0">
                <a:solidFill>
                  <a:schemeClr val="accent6">
                    <a:lumMod val="50000"/>
                  </a:schemeClr>
                </a:solidFill>
                <a:latin typeface="Rockwell Nova" panose="02060503020205020403" pitchFamily="18" charset="0"/>
              </a:rPr>
              <a:t>Payment Method</a:t>
            </a:r>
          </a:p>
        </xdr:txBody>
      </xdr:sp>
    </xdr:grpSp>
    <xdr:clientData/>
  </xdr:twoCellAnchor>
  <xdr:twoCellAnchor>
    <xdr:from>
      <xdr:col>12</xdr:col>
      <xdr:colOff>162030</xdr:colOff>
      <xdr:row>5</xdr:row>
      <xdr:rowOff>129680</xdr:rowOff>
    </xdr:from>
    <xdr:to>
      <xdr:col>14</xdr:col>
      <xdr:colOff>354706</xdr:colOff>
      <xdr:row>9</xdr:row>
      <xdr:rowOff>152401</xdr:rowOff>
    </xdr:to>
    <xdr:grpSp>
      <xdr:nvGrpSpPr>
        <xdr:cNvPr id="8" name="Group 7">
          <a:extLst>
            <a:ext uri="{FF2B5EF4-FFF2-40B4-BE49-F238E27FC236}">
              <a16:creationId xmlns:a16="http://schemas.microsoft.com/office/drawing/2014/main" id="{1A7AA821-A9DA-C0D6-B168-1C8BF32F7B89}"/>
            </a:ext>
          </a:extLst>
        </xdr:cNvPr>
        <xdr:cNvGrpSpPr/>
      </xdr:nvGrpSpPr>
      <xdr:grpSpPr>
        <a:xfrm>
          <a:off x="7477230" y="1082180"/>
          <a:ext cx="1411876" cy="784721"/>
          <a:chOff x="9513314" y="1063129"/>
          <a:chExt cx="1411876" cy="784721"/>
        </a:xfrm>
      </xdr:grpSpPr>
      <xdr:sp macro="" textlink="">
        <xdr:nvSpPr>
          <xdr:cNvPr id="38" name="Rectangle: Rounded Corners 37">
            <a:extLst>
              <a:ext uri="{FF2B5EF4-FFF2-40B4-BE49-F238E27FC236}">
                <a16:creationId xmlns:a16="http://schemas.microsoft.com/office/drawing/2014/main" id="{0310C556-90B4-41A9-D432-50EC3D589462}"/>
              </a:ext>
            </a:extLst>
          </xdr:cNvPr>
          <xdr:cNvSpPr/>
        </xdr:nvSpPr>
        <xdr:spPr>
          <a:xfrm>
            <a:off x="9513314" y="1063129"/>
            <a:ext cx="1411861" cy="784721"/>
          </a:xfrm>
          <a:prstGeom prst="round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TotalSales">
        <xdr:nvSpPr>
          <xdr:cNvPr id="44" name="TextBox 43">
            <a:extLst>
              <a:ext uri="{FF2B5EF4-FFF2-40B4-BE49-F238E27FC236}">
                <a16:creationId xmlns:a16="http://schemas.microsoft.com/office/drawing/2014/main" id="{EDA80E1D-C23D-4FD0-8195-E23A46CCF57A}"/>
              </a:ext>
            </a:extLst>
          </xdr:cNvPr>
          <xdr:cNvSpPr txBox="1"/>
        </xdr:nvSpPr>
        <xdr:spPr>
          <a:xfrm>
            <a:off x="9533711" y="1081572"/>
            <a:ext cx="1391479" cy="3795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6">
                    <a:lumMod val="50000"/>
                  </a:schemeClr>
                </a:solidFill>
                <a:latin typeface="Rockwell Nova" panose="02060503020205020403" pitchFamily="18" charset="0"/>
              </a:rPr>
              <a:t>Quantity</a:t>
            </a:r>
            <a:r>
              <a:rPr lang="en-US" sz="1200" baseline="0">
                <a:solidFill>
                  <a:schemeClr val="accent6">
                    <a:lumMod val="50000"/>
                  </a:schemeClr>
                </a:solidFill>
                <a:latin typeface="Rockwell Nova" panose="02060503020205020403" pitchFamily="18" charset="0"/>
              </a:rPr>
              <a:t> Sold</a:t>
            </a:r>
            <a:endParaRPr lang="en-US" sz="1200">
              <a:solidFill>
                <a:schemeClr val="accent6">
                  <a:lumMod val="50000"/>
                </a:schemeClr>
              </a:solidFill>
              <a:latin typeface="Rockwell Nova" panose="02060503020205020403" pitchFamily="18" charset="0"/>
            </a:endParaRPr>
          </a:p>
        </xdr:txBody>
      </xdr:sp>
      <xdr:sp macro="" textlink="QuantitySold">
        <xdr:nvSpPr>
          <xdr:cNvPr id="45" name="TextBox 44">
            <a:extLst>
              <a:ext uri="{FF2B5EF4-FFF2-40B4-BE49-F238E27FC236}">
                <a16:creationId xmlns:a16="http://schemas.microsoft.com/office/drawing/2014/main" id="{A320800E-ED4F-4CE0-B85E-A90CFBA9B1A6}"/>
              </a:ext>
            </a:extLst>
          </xdr:cNvPr>
          <xdr:cNvSpPr txBox="1"/>
        </xdr:nvSpPr>
        <xdr:spPr>
          <a:xfrm>
            <a:off x="9533711" y="1405422"/>
            <a:ext cx="1391479" cy="3795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6C8C2F-D5A2-48E5-88DA-679211B7AAD8}" type="TxLink">
              <a:rPr lang="en-US" sz="2000" b="0" i="0" u="none" strike="noStrike">
                <a:solidFill>
                  <a:srgbClr val="000000"/>
                </a:solidFill>
                <a:latin typeface="Rockwell Nova" panose="02060503020205020403" pitchFamily="18" charset="0"/>
                <a:cs typeface="Calibri"/>
              </a:rPr>
              <a:t>533</a:t>
            </a:fld>
            <a:endParaRPr lang="en-US" sz="4400" b="0" i="0" u="none" strike="noStrike">
              <a:solidFill>
                <a:schemeClr val="accent6">
                  <a:lumMod val="50000"/>
                </a:schemeClr>
              </a:solidFill>
              <a:latin typeface="Rockwell Nova" panose="02060503020205020403" pitchFamily="18" charset="0"/>
              <a:cs typeface="Calibri"/>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liyah Lopez Aquino" refreshedDate="46003.830718171295" createdVersion="8" refreshedVersion="8" minRefreshableVersion="3" recordCount="100" xr:uid="{A33C0928-AC5B-40A5-8880-CC35904822B3}">
  <cacheSource type="worksheet">
    <worksheetSource name="Table1"/>
  </cacheSource>
  <cacheFields count="17">
    <cacheField name="TransactionID" numFmtId="0">
      <sharedItems/>
    </cacheField>
    <cacheField name="Month/Year" numFmtId="0">
      <sharedItems count="4">
        <s v="Jan-2025"/>
        <s v="Feb-2025"/>
        <s v="Mar-2025"/>
        <s v="Apr-2025"/>
      </sharedItems>
    </cacheField>
    <cacheField name="ExactDate" numFmtId="165">
      <sharedItems containsSemiMixedTypes="0" containsNonDate="0" containsDate="1" containsString="0" minDate="2025-01-01T00:00:00" maxDate="2025-04-11T00:00:00"/>
    </cacheField>
    <cacheField name="FirstName" numFmtId="0">
      <sharedItems/>
    </cacheField>
    <cacheField name="LastName" numFmtId="49">
      <sharedItems/>
    </cacheField>
    <cacheField name="Product" numFmtId="0">
      <sharedItems count="10">
        <s v="Laptop"/>
        <s v="Keyboard"/>
        <s v="Camera"/>
        <s v="Tablet"/>
        <s v="Phone"/>
        <s v="Monitor"/>
        <s v="Mouse"/>
        <s v="Headphones"/>
        <s v="Speaker"/>
        <s v="Charger"/>
      </sharedItems>
    </cacheField>
    <cacheField name="Category" numFmtId="0">
      <sharedItems count="2">
        <s v="Electronics"/>
        <s v="Accessories"/>
      </sharedItems>
    </cacheField>
    <cacheField name="Region" numFmtId="0">
      <sharedItems count="4">
        <s v="West"/>
        <s v="South"/>
        <s v="North"/>
        <s v="East"/>
      </sharedItems>
    </cacheField>
    <cacheField name="Quantity" numFmtId="0">
      <sharedItems containsSemiMixedTypes="0" containsString="0" containsNumber="1" containsInteger="1" minValue="1" maxValue="10"/>
    </cacheField>
    <cacheField name="UnitPrice" numFmtId="166">
      <sharedItems containsSemiMixedTypes="0" containsString="0" containsNumber="1" minValue="17.29" maxValue="987.41"/>
    </cacheField>
    <cacheField name="PaymentMethod" numFmtId="0">
      <sharedItems count="3">
        <s v="Cash"/>
        <s v="Online"/>
        <s v="Card"/>
      </sharedItems>
    </cacheField>
    <cacheField name="TotalSales" numFmtId="166">
      <sharedItems containsSemiMixedTypes="0" containsString="0" containsNumber="1" minValue="69.16" maxValue="9283.7999999999993"/>
    </cacheField>
    <cacheField name="Discount" numFmtId="167">
      <sharedItems containsSemiMixedTypes="0" containsString="0" containsNumber="1" minValue="0" maxValue="464.19"/>
    </cacheField>
    <cacheField name="NetSales" numFmtId="166">
      <sharedItems containsSemiMixedTypes="0" containsString="0" containsNumber="1" minValue="69.16" maxValue="8819.6099999999988"/>
    </cacheField>
    <cacheField name="SalesStatus" numFmtId="166">
      <sharedItems count="2">
        <s v="High Value"/>
        <s v="Regular"/>
      </sharedItems>
    </cacheField>
    <cacheField name="CommissionRate" numFmtId="9">
      <sharedItems containsSemiMixedTypes="0" containsString="0" containsNumber="1" minValue="0.02" maxValue="0.05"/>
    </cacheField>
    <cacheField name="Commission" numFmtId="166">
      <sharedItems containsSemiMixedTypes="0" containsString="0" containsNumber="1" minValue="1.8789999999999998" maxValue="349.06400000000002"/>
    </cacheField>
  </cacheFields>
  <extLst>
    <ext xmlns:x14="http://schemas.microsoft.com/office/spreadsheetml/2009/9/main" uri="{725AE2AE-9491-48be-B2B4-4EB974FC3084}">
      <x14:pivotCacheDefinition pivotCacheId="16183596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T1000"/>
    <x v="0"/>
    <d v="2025-01-01T00:00:00"/>
    <s v="Morgan"/>
    <s v="Brown"/>
    <x v="0"/>
    <x v="0"/>
    <x v="0"/>
    <n v="5"/>
    <n v="862.79"/>
    <x v="0"/>
    <n v="4313.95"/>
    <n v="0"/>
    <n v="4313.95"/>
    <x v="0"/>
    <n v="0.05"/>
    <n v="215.69749999999999"/>
  </r>
  <r>
    <s v="T1001"/>
    <x v="0"/>
    <d v="2025-01-02T00:00:00"/>
    <s v="Riley"/>
    <s v="Harris"/>
    <x v="1"/>
    <x v="1"/>
    <x v="1"/>
    <n v="9"/>
    <n v="724.57"/>
    <x v="1"/>
    <n v="6521.13"/>
    <n v="326.05650000000003"/>
    <n v="6195.0735000000004"/>
    <x v="0"/>
    <n v="0.03"/>
    <n v="195.63389999999998"/>
  </r>
  <r>
    <s v="T1002"/>
    <x v="0"/>
    <d v="2025-01-03T00:00:00"/>
    <s v="Taylor"/>
    <s v="Lee"/>
    <x v="2"/>
    <x v="0"/>
    <x v="1"/>
    <n v="9"/>
    <n v="194.17"/>
    <x v="2"/>
    <n v="1747.53"/>
    <n v="87.376500000000007"/>
    <n v="1660.1534999999999"/>
    <x v="1"/>
    <n v="0.05"/>
    <n v="87.376500000000007"/>
  </r>
  <r>
    <s v="T1003"/>
    <x v="0"/>
    <d v="2025-01-04T00:00:00"/>
    <s v="Drew"/>
    <s v="Garcia"/>
    <x v="3"/>
    <x v="0"/>
    <x v="0"/>
    <n v="3"/>
    <n v="627.59"/>
    <x v="0"/>
    <n v="1882.77"/>
    <n v="0"/>
    <n v="1882.77"/>
    <x v="1"/>
    <n v="0.04"/>
    <n v="75.3108"/>
  </r>
  <r>
    <s v="T1004"/>
    <x v="0"/>
    <d v="2025-01-05T00:00:00"/>
    <s v="Drew"/>
    <s v="Harris"/>
    <x v="4"/>
    <x v="0"/>
    <x v="0"/>
    <n v="9"/>
    <n v="801.96"/>
    <x v="0"/>
    <n v="7217.64"/>
    <n v="360.88200000000006"/>
    <n v="6856.7579999999998"/>
    <x v="0"/>
    <n v="0.04"/>
    <n v="288.7056"/>
  </r>
  <r>
    <s v="T1005"/>
    <x v="0"/>
    <d v="2025-01-06T00:00:00"/>
    <s v="Jordan"/>
    <s v="Martinez"/>
    <x v="2"/>
    <x v="0"/>
    <x v="2"/>
    <n v="8"/>
    <n v="509.95"/>
    <x v="1"/>
    <n v="4079.6"/>
    <n v="203.98000000000002"/>
    <n v="3875.62"/>
    <x v="0"/>
    <n v="0.05"/>
    <n v="203.98000000000002"/>
  </r>
  <r>
    <s v="T1006"/>
    <x v="0"/>
    <d v="2025-01-07T00:00:00"/>
    <s v="Unknown"/>
    <s v="Customer"/>
    <x v="4"/>
    <x v="0"/>
    <x v="0"/>
    <n v="8"/>
    <n v="31.78"/>
    <x v="0"/>
    <n v="254.24"/>
    <n v="12.712000000000002"/>
    <n v="241.52800000000002"/>
    <x v="1"/>
    <n v="0.04"/>
    <n v="10.169600000000001"/>
  </r>
  <r>
    <s v="T1007"/>
    <x v="0"/>
    <d v="2025-01-08T00:00:00"/>
    <s v="Drew"/>
    <s v="Davis"/>
    <x v="4"/>
    <x v="0"/>
    <x v="0"/>
    <n v="7"/>
    <n v="841.31"/>
    <x v="0"/>
    <n v="5889.17"/>
    <n v="294.45850000000002"/>
    <n v="5594.7115000000003"/>
    <x v="0"/>
    <n v="0.04"/>
    <n v="235.5668"/>
  </r>
  <r>
    <s v="T1008"/>
    <x v="0"/>
    <d v="2025-01-09T00:00:00"/>
    <s v="Unknown"/>
    <s v="Customer"/>
    <x v="5"/>
    <x v="0"/>
    <x v="3"/>
    <n v="9"/>
    <n v="583.19000000000005"/>
    <x v="0"/>
    <n v="5248.7100000000009"/>
    <n v="262.43550000000005"/>
    <n v="4986.2745000000014"/>
    <x v="0"/>
    <n v="0.05"/>
    <n v="262.43550000000005"/>
  </r>
  <r>
    <s v="T1009"/>
    <x v="0"/>
    <d v="2025-01-10T00:00:00"/>
    <s v="Morgan"/>
    <s v="Smith"/>
    <x v="6"/>
    <x v="1"/>
    <x v="1"/>
    <n v="7"/>
    <n v="27.3"/>
    <x v="1"/>
    <n v="191.1"/>
    <n v="9.5549999999999997"/>
    <n v="181.54499999999999"/>
    <x v="1"/>
    <n v="0.02"/>
    <n v="3.8220000000000001"/>
  </r>
  <r>
    <s v="T1010"/>
    <x v="0"/>
    <d v="2025-01-11T00:00:00"/>
    <s v="Unknown"/>
    <s v="Customer"/>
    <x v="2"/>
    <x v="0"/>
    <x v="0"/>
    <n v="4"/>
    <n v="838.56"/>
    <x v="2"/>
    <n v="3354.24"/>
    <n v="0"/>
    <n v="3354.24"/>
    <x v="0"/>
    <n v="0.05"/>
    <n v="167.71199999999999"/>
  </r>
  <r>
    <s v="T1011"/>
    <x v="0"/>
    <d v="2025-01-12T00:00:00"/>
    <s v="Drew"/>
    <s v="Smith"/>
    <x v="1"/>
    <x v="1"/>
    <x v="3"/>
    <n v="3"/>
    <n v="926.66"/>
    <x v="0"/>
    <n v="2779.98"/>
    <n v="0"/>
    <n v="2779.98"/>
    <x v="1"/>
    <n v="0.03"/>
    <n v="83.3994"/>
  </r>
  <r>
    <s v="T1012"/>
    <x v="0"/>
    <d v="2025-01-13T00:00:00"/>
    <s v="Morgan"/>
    <s v="Johnson"/>
    <x v="7"/>
    <x v="1"/>
    <x v="3"/>
    <n v="4"/>
    <n v="640.96"/>
    <x v="2"/>
    <n v="2563.84"/>
    <n v="0"/>
    <n v="2563.84"/>
    <x v="1"/>
    <n v="0.02"/>
    <n v="51.276800000000001"/>
  </r>
  <r>
    <s v="T1013"/>
    <x v="0"/>
    <d v="2025-01-14T00:00:00"/>
    <s v="Taylor"/>
    <s v="Brown"/>
    <x v="1"/>
    <x v="1"/>
    <x v="0"/>
    <n v="10"/>
    <n v="928.38"/>
    <x v="1"/>
    <n v="9283.7999999999993"/>
    <n v="464.19"/>
    <n v="8819.6099999999988"/>
    <x v="0"/>
    <n v="0.03"/>
    <n v="278.51399999999995"/>
  </r>
  <r>
    <s v="T1014"/>
    <x v="0"/>
    <d v="2025-01-15T00:00:00"/>
    <s v="Drew"/>
    <s v="Lopez"/>
    <x v="3"/>
    <x v="0"/>
    <x v="1"/>
    <n v="7"/>
    <n v="541.32000000000005"/>
    <x v="2"/>
    <n v="3789.2400000000002"/>
    <n v="189.46200000000002"/>
    <n v="3599.7780000000002"/>
    <x v="0"/>
    <n v="0.04"/>
    <n v="151.56960000000001"/>
  </r>
  <r>
    <s v="T1015"/>
    <x v="0"/>
    <d v="2025-01-16T00:00:00"/>
    <s v="Taylor"/>
    <s v="Harris"/>
    <x v="4"/>
    <x v="0"/>
    <x v="1"/>
    <n v="6"/>
    <n v="727.07"/>
    <x v="0"/>
    <n v="4362.42"/>
    <n v="218.12100000000001"/>
    <n v="4144.299"/>
    <x v="0"/>
    <n v="0.04"/>
    <n v="174.49680000000001"/>
  </r>
  <r>
    <s v="T1016"/>
    <x v="0"/>
    <d v="2025-01-17T00:00:00"/>
    <s v="Taylor"/>
    <s v="Clark"/>
    <x v="5"/>
    <x v="0"/>
    <x v="0"/>
    <n v="2"/>
    <n v="653.79"/>
    <x v="0"/>
    <n v="1307.58"/>
    <n v="0"/>
    <n v="1307.58"/>
    <x v="1"/>
    <n v="0.05"/>
    <n v="65.379000000000005"/>
  </r>
  <r>
    <s v="T1017"/>
    <x v="0"/>
    <d v="2025-01-18T00:00:00"/>
    <s v="Morgan"/>
    <s v="Johnson"/>
    <x v="2"/>
    <x v="0"/>
    <x v="2"/>
    <n v="2"/>
    <n v="975.61"/>
    <x v="0"/>
    <n v="1951.22"/>
    <n v="0"/>
    <n v="1951.22"/>
    <x v="1"/>
    <n v="0.05"/>
    <n v="97.561000000000007"/>
  </r>
  <r>
    <s v="T1018"/>
    <x v="0"/>
    <d v="2025-01-19T00:00:00"/>
    <s v="Drew"/>
    <s v="Lee"/>
    <x v="2"/>
    <x v="0"/>
    <x v="1"/>
    <n v="5"/>
    <n v="863.74"/>
    <x v="2"/>
    <n v="4318.7"/>
    <n v="0"/>
    <n v="4318.7"/>
    <x v="0"/>
    <n v="0.05"/>
    <n v="215.935"/>
  </r>
  <r>
    <s v="T1019"/>
    <x v="0"/>
    <d v="2025-01-20T00:00:00"/>
    <s v="Jordan"/>
    <s v="Davis"/>
    <x v="8"/>
    <x v="1"/>
    <x v="2"/>
    <n v="4"/>
    <n v="246.59"/>
    <x v="1"/>
    <n v="986.36"/>
    <n v="0"/>
    <n v="986.36"/>
    <x v="1"/>
    <n v="0.03"/>
    <n v="29.590799999999998"/>
  </r>
  <r>
    <s v="T1020"/>
    <x v="0"/>
    <d v="2025-01-21T00:00:00"/>
    <s v="Morgan"/>
    <s v="Clark"/>
    <x v="5"/>
    <x v="0"/>
    <x v="2"/>
    <n v="5"/>
    <n v="149.41999999999999"/>
    <x v="1"/>
    <n v="747.09999999999991"/>
    <n v="0"/>
    <n v="747.09999999999991"/>
    <x v="1"/>
    <n v="0.05"/>
    <n v="37.354999999999997"/>
  </r>
  <r>
    <s v="T1021"/>
    <x v="0"/>
    <d v="2025-01-22T00:00:00"/>
    <s v="Jordan"/>
    <s v="Brown"/>
    <x v="8"/>
    <x v="1"/>
    <x v="1"/>
    <n v="7"/>
    <n v="151.01"/>
    <x v="0"/>
    <n v="1057.07"/>
    <n v="52.853499999999997"/>
    <n v="1004.2165"/>
    <x v="1"/>
    <n v="0.03"/>
    <n v="31.712099999999996"/>
  </r>
  <r>
    <s v="T1022"/>
    <x v="0"/>
    <d v="2025-01-23T00:00:00"/>
    <s v="Riley"/>
    <s v="Clark"/>
    <x v="2"/>
    <x v="0"/>
    <x v="0"/>
    <n v="8"/>
    <n v="415.07"/>
    <x v="1"/>
    <n v="3320.56"/>
    <n v="166.02800000000002"/>
    <n v="3154.5320000000002"/>
    <x v="0"/>
    <n v="0.05"/>
    <n v="166.02800000000002"/>
  </r>
  <r>
    <s v="T1023"/>
    <x v="0"/>
    <d v="2025-01-24T00:00:00"/>
    <s v="Riley"/>
    <s v="Harris"/>
    <x v="8"/>
    <x v="1"/>
    <x v="0"/>
    <n v="5"/>
    <n v="394.67"/>
    <x v="0"/>
    <n v="1973.3500000000001"/>
    <n v="0"/>
    <n v="1973.3500000000001"/>
    <x v="1"/>
    <n v="0.03"/>
    <n v="59.200500000000005"/>
  </r>
  <r>
    <s v="T1024"/>
    <x v="0"/>
    <d v="2025-01-25T00:00:00"/>
    <s v="Jordan"/>
    <s v="Brown"/>
    <x v="2"/>
    <x v="0"/>
    <x v="2"/>
    <n v="8"/>
    <n v="872.66"/>
    <x v="2"/>
    <n v="6981.28"/>
    <n v="349.06400000000002"/>
    <n v="6632.2159999999994"/>
    <x v="0"/>
    <n v="0.05"/>
    <n v="349.06400000000002"/>
  </r>
  <r>
    <s v="T1025"/>
    <x v="0"/>
    <d v="2025-01-26T00:00:00"/>
    <s v="Jordan"/>
    <s v="Davis"/>
    <x v="3"/>
    <x v="0"/>
    <x v="2"/>
    <n v="7"/>
    <n v="548.6"/>
    <x v="2"/>
    <n v="3840.2000000000003"/>
    <n v="192.01000000000002"/>
    <n v="3648.19"/>
    <x v="0"/>
    <n v="0.04"/>
    <n v="153.608"/>
  </r>
  <r>
    <s v="T1026"/>
    <x v="0"/>
    <d v="2025-01-27T00:00:00"/>
    <s v="Pat"/>
    <s v="Johnson"/>
    <x v="3"/>
    <x v="0"/>
    <x v="3"/>
    <n v="5"/>
    <n v="847.91"/>
    <x v="0"/>
    <n v="4239.55"/>
    <n v="0"/>
    <n v="4239.55"/>
    <x v="0"/>
    <n v="0.04"/>
    <n v="169.58200000000002"/>
  </r>
  <r>
    <s v="T1027"/>
    <x v="0"/>
    <d v="2025-01-28T00:00:00"/>
    <s v="Alex"/>
    <s v="Johnson"/>
    <x v="2"/>
    <x v="0"/>
    <x v="2"/>
    <n v="6"/>
    <n v="235.22"/>
    <x v="2"/>
    <n v="1411.32"/>
    <n v="70.566000000000003"/>
    <n v="1340.7539999999999"/>
    <x v="1"/>
    <n v="0.05"/>
    <n v="70.566000000000003"/>
  </r>
  <r>
    <s v="T1028"/>
    <x v="0"/>
    <d v="2025-01-29T00:00:00"/>
    <s v="Morgan"/>
    <s v="Harris"/>
    <x v="6"/>
    <x v="1"/>
    <x v="3"/>
    <n v="7"/>
    <n v="128.78"/>
    <x v="0"/>
    <n v="901.46"/>
    <n v="45.073000000000008"/>
    <n v="856.38700000000006"/>
    <x v="1"/>
    <n v="0.02"/>
    <n v="18.029199999999999"/>
  </r>
  <r>
    <s v="T1029"/>
    <x v="0"/>
    <d v="2025-01-30T00:00:00"/>
    <s v="Casey"/>
    <s v="Johnson"/>
    <x v="8"/>
    <x v="1"/>
    <x v="0"/>
    <n v="1"/>
    <n v="618.27"/>
    <x v="2"/>
    <n v="618.27"/>
    <n v="0"/>
    <n v="618.27"/>
    <x v="1"/>
    <n v="0.03"/>
    <n v="18.548099999999998"/>
  </r>
  <r>
    <s v="T1030"/>
    <x v="0"/>
    <d v="2025-01-31T00:00:00"/>
    <s v="Alex"/>
    <s v="Brown"/>
    <x v="4"/>
    <x v="0"/>
    <x v="0"/>
    <n v="4"/>
    <n v="661.2"/>
    <x v="2"/>
    <n v="2644.8"/>
    <n v="0"/>
    <n v="2644.8"/>
    <x v="1"/>
    <n v="0.04"/>
    <n v="105.79200000000002"/>
  </r>
  <r>
    <s v="T1031"/>
    <x v="1"/>
    <d v="2025-02-01T00:00:00"/>
    <s v="Pat"/>
    <s v="Johnson"/>
    <x v="9"/>
    <x v="1"/>
    <x v="0"/>
    <n v="2"/>
    <n v="465.33"/>
    <x v="1"/>
    <n v="930.66"/>
    <n v="0"/>
    <n v="930.66"/>
    <x v="1"/>
    <n v="0.02"/>
    <n v="18.613199999999999"/>
  </r>
  <r>
    <s v="T1032"/>
    <x v="1"/>
    <d v="2025-02-02T00:00:00"/>
    <s v="Jordan"/>
    <s v="Martinez"/>
    <x v="6"/>
    <x v="1"/>
    <x v="3"/>
    <n v="8"/>
    <n v="50.31"/>
    <x v="0"/>
    <n v="402.48"/>
    <n v="20.124000000000002"/>
    <n v="382.35599999999999"/>
    <x v="1"/>
    <n v="0.02"/>
    <n v="8.0495999999999999"/>
  </r>
  <r>
    <s v="T1033"/>
    <x v="1"/>
    <d v="2025-02-03T00:00:00"/>
    <s v="Alex"/>
    <s v="Davis"/>
    <x v="3"/>
    <x v="0"/>
    <x v="1"/>
    <n v="10"/>
    <n v="685.63"/>
    <x v="0"/>
    <n v="6856.3"/>
    <n v="342.81500000000005"/>
    <n v="6513.4850000000006"/>
    <x v="0"/>
    <n v="0.04"/>
    <n v="274.25200000000001"/>
  </r>
  <r>
    <s v="T1034"/>
    <x v="1"/>
    <d v="2025-02-04T00:00:00"/>
    <s v="Pat"/>
    <s v="Davis"/>
    <x v="0"/>
    <x v="0"/>
    <x v="2"/>
    <n v="4"/>
    <n v="465.85"/>
    <x v="2"/>
    <n v="1863.4"/>
    <n v="0"/>
    <n v="1863.4"/>
    <x v="1"/>
    <n v="0.05"/>
    <n v="93.170000000000016"/>
  </r>
  <r>
    <s v="T1035"/>
    <x v="1"/>
    <d v="2025-02-05T00:00:00"/>
    <s v="Casey"/>
    <s v="Garcia"/>
    <x v="7"/>
    <x v="1"/>
    <x v="2"/>
    <n v="5"/>
    <n v="42.3"/>
    <x v="0"/>
    <n v="211.5"/>
    <n v="0"/>
    <n v="211.5"/>
    <x v="1"/>
    <n v="0.02"/>
    <n v="4.2300000000000004"/>
  </r>
  <r>
    <s v="T1036"/>
    <x v="1"/>
    <d v="2025-02-06T00:00:00"/>
    <s v="Alex"/>
    <s v="Johnson"/>
    <x v="1"/>
    <x v="1"/>
    <x v="3"/>
    <n v="1"/>
    <n v="77.37"/>
    <x v="1"/>
    <n v="77.37"/>
    <n v="0"/>
    <n v="77.37"/>
    <x v="1"/>
    <n v="0.03"/>
    <n v="2.3210999999999999"/>
  </r>
  <r>
    <s v="T1037"/>
    <x v="1"/>
    <d v="2025-02-07T00:00:00"/>
    <s v="Casey"/>
    <s v="Davis"/>
    <x v="4"/>
    <x v="0"/>
    <x v="1"/>
    <n v="7"/>
    <n v="925.68"/>
    <x v="0"/>
    <n v="6479.7599999999993"/>
    <n v="323.988"/>
    <n v="6155.771999999999"/>
    <x v="0"/>
    <n v="0.04"/>
    <n v="259.19039999999995"/>
  </r>
  <r>
    <s v="T1038"/>
    <x v="1"/>
    <d v="2025-02-08T00:00:00"/>
    <s v="Jordan"/>
    <s v="Lopez"/>
    <x v="9"/>
    <x v="1"/>
    <x v="0"/>
    <n v="3"/>
    <n v="461.37"/>
    <x v="1"/>
    <n v="1384.1100000000001"/>
    <n v="0"/>
    <n v="1384.1100000000001"/>
    <x v="1"/>
    <n v="0.02"/>
    <n v="27.682200000000002"/>
  </r>
  <r>
    <s v="T1039"/>
    <x v="1"/>
    <d v="2025-02-09T00:00:00"/>
    <s v="Drew"/>
    <s v="Brown"/>
    <x v="3"/>
    <x v="0"/>
    <x v="1"/>
    <n v="7"/>
    <n v="786.23"/>
    <x v="1"/>
    <n v="5503.6100000000006"/>
    <n v="275.18050000000005"/>
    <n v="5228.4295000000002"/>
    <x v="0"/>
    <n v="0.04"/>
    <n v="220.14440000000002"/>
  </r>
  <r>
    <s v="T1040"/>
    <x v="1"/>
    <d v="2025-02-10T00:00:00"/>
    <s v="Taylor"/>
    <s v="Brown"/>
    <x v="9"/>
    <x v="1"/>
    <x v="2"/>
    <n v="7"/>
    <n v="418.54"/>
    <x v="0"/>
    <n v="2929.78"/>
    <n v="146.489"/>
    <n v="2783.2910000000002"/>
    <x v="1"/>
    <n v="0.02"/>
    <n v="58.595600000000005"/>
  </r>
  <r>
    <s v="T1041"/>
    <x v="1"/>
    <d v="2025-02-11T00:00:00"/>
    <s v="Morgan"/>
    <s v="Smith"/>
    <x v="4"/>
    <x v="0"/>
    <x v="1"/>
    <n v="8"/>
    <n v="29.07"/>
    <x v="1"/>
    <n v="232.56"/>
    <n v="11.628"/>
    <n v="220.93200000000002"/>
    <x v="1"/>
    <n v="0.04"/>
    <n v="9.3024000000000004"/>
  </r>
  <r>
    <s v="T1042"/>
    <x v="1"/>
    <d v="2025-02-12T00:00:00"/>
    <s v="Pat"/>
    <s v="Clark"/>
    <x v="5"/>
    <x v="0"/>
    <x v="1"/>
    <n v="10"/>
    <n v="520.15"/>
    <x v="0"/>
    <n v="5201.5"/>
    <n v="260.07499999999999"/>
    <n v="4941.4250000000002"/>
    <x v="0"/>
    <n v="0.05"/>
    <n v="260.07499999999999"/>
  </r>
  <r>
    <s v="T1043"/>
    <x v="1"/>
    <d v="2025-02-13T00:00:00"/>
    <s v="Morgan"/>
    <s v="Brown"/>
    <x v="7"/>
    <x v="1"/>
    <x v="1"/>
    <n v="8"/>
    <n v="958.1"/>
    <x v="1"/>
    <n v="7664.8"/>
    <n v="383.24"/>
    <n v="7281.56"/>
    <x v="0"/>
    <n v="0.02"/>
    <n v="153.29600000000002"/>
  </r>
  <r>
    <s v="T1044"/>
    <x v="1"/>
    <d v="2025-02-14T00:00:00"/>
    <s v="Morgan"/>
    <s v="Lee"/>
    <x v="8"/>
    <x v="1"/>
    <x v="1"/>
    <n v="4"/>
    <n v="437.38"/>
    <x v="0"/>
    <n v="1749.52"/>
    <n v="0"/>
    <n v="1749.52"/>
    <x v="1"/>
    <n v="0.03"/>
    <n v="52.485599999999998"/>
  </r>
  <r>
    <s v="T1045"/>
    <x v="1"/>
    <d v="2025-02-15T00:00:00"/>
    <s v="Chris"/>
    <s v="Martinez"/>
    <x v="5"/>
    <x v="0"/>
    <x v="0"/>
    <n v="1"/>
    <n v="740.96"/>
    <x v="2"/>
    <n v="740.96"/>
    <n v="0"/>
    <n v="740.96"/>
    <x v="1"/>
    <n v="0.05"/>
    <n v="37.048000000000002"/>
  </r>
  <r>
    <s v="T1046"/>
    <x v="1"/>
    <d v="2025-02-16T00:00:00"/>
    <s v="Drew"/>
    <s v="Davis"/>
    <x v="5"/>
    <x v="0"/>
    <x v="2"/>
    <n v="9"/>
    <n v="149.72999999999999"/>
    <x v="2"/>
    <n v="1347.57"/>
    <n v="67.378500000000003"/>
    <n v="1280.1914999999999"/>
    <x v="1"/>
    <n v="0.05"/>
    <n v="67.378500000000003"/>
  </r>
  <r>
    <s v="T1047"/>
    <x v="1"/>
    <d v="2025-02-17T00:00:00"/>
    <s v="Drew"/>
    <s v="Lopez"/>
    <x v="7"/>
    <x v="1"/>
    <x v="1"/>
    <n v="8"/>
    <n v="206.32"/>
    <x v="0"/>
    <n v="1650.56"/>
    <n v="82.528000000000006"/>
    <n v="1568.0319999999999"/>
    <x v="1"/>
    <n v="0.02"/>
    <n v="33.011200000000002"/>
  </r>
  <r>
    <s v="T1048"/>
    <x v="1"/>
    <d v="2025-02-18T00:00:00"/>
    <s v="Casey"/>
    <s v="Johnson"/>
    <x v="0"/>
    <x v="0"/>
    <x v="1"/>
    <n v="1"/>
    <n v="725.86"/>
    <x v="0"/>
    <n v="725.86"/>
    <n v="0"/>
    <n v="725.86"/>
    <x v="1"/>
    <n v="0.05"/>
    <n v="36.292999999999999"/>
  </r>
  <r>
    <s v="T1049"/>
    <x v="1"/>
    <d v="2025-02-19T00:00:00"/>
    <s v="Alex"/>
    <s v="Clark"/>
    <x v="6"/>
    <x v="1"/>
    <x v="2"/>
    <n v="9"/>
    <n v="437.51"/>
    <x v="1"/>
    <n v="3937.59"/>
    <n v="196.87950000000001"/>
    <n v="3740.7105000000001"/>
    <x v="0"/>
    <n v="0.02"/>
    <n v="78.751800000000003"/>
  </r>
  <r>
    <s v="T1050"/>
    <x v="1"/>
    <d v="2025-02-20T00:00:00"/>
    <s v="Chris"/>
    <s v="Clark"/>
    <x v="4"/>
    <x v="0"/>
    <x v="1"/>
    <n v="1"/>
    <n v="522.1"/>
    <x v="0"/>
    <n v="522.1"/>
    <n v="0"/>
    <n v="522.1"/>
    <x v="1"/>
    <n v="0.04"/>
    <n v="20.884"/>
  </r>
  <r>
    <s v="T1051"/>
    <x v="1"/>
    <d v="2025-02-21T00:00:00"/>
    <s v="Taylor"/>
    <s v="Lee"/>
    <x v="3"/>
    <x v="0"/>
    <x v="3"/>
    <n v="3"/>
    <n v="271.68"/>
    <x v="0"/>
    <n v="815.04"/>
    <n v="0"/>
    <n v="815.04"/>
    <x v="1"/>
    <n v="0.04"/>
    <n v="32.601599999999998"/>
  </r>
  <r>
    <s v="T1052"/>
    <x v="1"/>
    <d v="2025-02-22T00:00:00"/>
    <s v="Morgan"/>
    <s v="Harris"/>
    <x v="6"/>
    <x v="1"/>
    <x v="0"/>
    <n v="4"/>
    <n v="382.57"/>
    <x v="2"/>
    <n v="1530.28"/>
    <n v="0"/>
    <n v="1530.28"/>
    <x v="1"/>
    <n v="0.02"/>
    <n v="30.605599999999999"/>
  </r>
  <r>
    <s v="T1053"/>
    <x v="1"/>
    <d v="2025-02-23T00:00:00"/>
    <s v="Chris"/>
    <s v="Clark"/>
    <x v="5"/>
    <x v="0"/>
    <x v="2"/>
    <n v="3"/>
    <n v="430.86"/>
    <x v="2"/>
    <n v="1292.58"/>
    <n v="0"/>
    <n v="1292.58"/>
    <x v="1"/>
    <n v="0.05"/>
    <n v="64.629000000000005"/>
  </r>
  <r>
    <s v="T1054"/>
    <x v="1"/>
    <d v="2025-02-24T00:00:00"/>
    <s v="Drew"/>
    <s v="Martinez"/>
    <x v="2"/>
    <x v="0"/>
    <x v="0"/>
    <n v="5"/>
    <n v="947.85"/>
    <x v="1"/>
    <n v="4739.25"/>
    <n v="0"/>
    <n v="4739.25"/>
    <x v="0"/>
    <n v="0.05"/>
    <n v="236.96250000000001"/>
  </r>
  <r>
    <s v="T1055"/>
    <x v="1"/>
    <d v="2025-02-25T00:00:00"/>
    <s v="Morgan"/>
    <s v="Lee"/>
    <x v="8"/>
    <x v="1"/>
    <x v="1"/>
    <n v="3"/>
    <n v="299.33"/>
    <x v="2"/>
    <n v="897.99"/>
    <n v="0"/>
    <n v="897.99"/>
    <x v="1"/>
    <n v="0.03"/>
    <n v="26.939699999999998"/>
  </r>
  <r>
    <s v="T1056"/>
    <x v="1"/>
    <d v="2025-02-26T00:00:00"/>
    <s v="Taylor"/>
    <s v="Garcia"/>
    <x v="5"/>
    <x v="0"/>
    <x v="1"/>
    <n v="4"/>
    <n v="229.99"/>
    <x v="0"/>
    <n v="919.96"/>
    <n v="0"/>
    <n v="919.96"/>
    <x v="1"/>
    <n v="0.05"/>
    <n v="45.998000000000005"/>
  </r>
  <r>
    <s v="T1057"/>
    <x v="1"/>
    <d v="2025-02-27T00:00:00"/>
    <s v="Chris"/>
    <s v="Lee"/>
    <x v="2"/>
    <x v="0"/>
    <x v="1"/>
    <n v="4"/>
    <n v="363.6"/>
    <x v="1"/>
    <n v="1454.4"/>
    <n v="0"/>
    <n v="1454.4"/>
    <x v="1"/>
    <n v="0.05"/>
    <n v="72.720000000000013"/>
  </r>
  <r>
    <s v="T1058"/>
    <x v="1"/>
    <d v="2025-02-28T00:00:00"/>
    <s v="Taylor"/>
    <s v="Lopez"/>
    <x v="8"/>
    <x v="1"/>
    <x v="2"/>
    <n v="9"/>
    <n v="114.65"/>
    <x v="1"/>
    <n v="1031.8500000000001"/>
    <n v="51.592500000000008"/>
    <n v="980.25750000000016"/>
    <x v="1"/>
    <n v="0.03"/>
    <n v="30.955500000000004"/>
  </r>
  <r>
    <s v="T1059"/>
    <x v="2"/>
    <d v="2025-03-01T00:00:00"/>
    <s v="Riley"/>
    <s v="Martinez"/>
    <x v="8"/>
    <x v="1"/>
    <x v="1"/>
    <n v="7"/>
    <n v="684.07"/>
    <x v="2"/>
    <n v="4788.4900000000007"/>
    <n v="239.42450000000005"/>
    <n v="4549.0655000000006"/>
    <x v="0"/>
    <n v="0.03"/>
    <n v="143.65470000000002"/>
  </r>
  <r>
    <s v="T1060"/>
    <x v="2"/>
    <d v="2025-03-02T00:00:00"/>
    <s v="Unknown"/>
    <s v="Customer"/>
    <x v="7"/>
    <x v="1"/>
    <x v="2"/>
    <n v="7"/>
    <n v="255.82"/>
    <x v="1"/>
    <n v="1790.74"/>
    <n v="89.537000000000006"/>
    <n v="1701.203"/>
    <x v="1"/>
    <n v="0.02"/>
    <n v="35.814799999999998"/>
  </r>
  <r>
    <s v="T1061"/>
    <x v="2"/>
    <d v="2025-03-03T00:00:00"/>
    <s v="Alex"/>
    <s v="Johnson"/>
    <x v="4"/>
    <x v="0"/>
    <x v="0"/>
    <n v="4"/>
    <n v="946.84"/>
    <x v="0"/>
    <n v="3787.36"/>
    <n v="0"/>
    <n v="3787.36"/>
    <x v="0"/>
    <n v="0.04"/>
    <n v="151.49440000000001"/>
  </r>
  <r>
    <s v="T1062"/>
    <x v="2"/>
    <d v="2025-03-04T00:00:00"/>
    <s v="Riley"/>
    <s v="Harris"/>
    <x v="8"/>
    <x v="1"/>
    <x v="1"/>
    <n v="3"/>
    <n v="734.36"/>
    <x v="1"/>
    <n v="2203.08"/>
    <n v="0"/>
    <n v="2203.08"/>
    <x v="1"/>
    <n v="0.03"/>
    <n v="66.092399999999998"/>
  </r>
  <r>
    <s v="T1063"/>
    <x v="2"/>
    <d v="2025-03-05T00:00:00"/>
    <s v="Jordan"/>
    <s v="Harris"/>
    <x v="7"/>
    <x v="1"/>
    <x v="2"/>
    <n v="9"/>
    <n v="308.07"/>
    <x v="2"/>
    <n v="2772.63"/>
    <n v="138.63150000000002"/>
    <n v="2633.9985000000001"/>
    <x v="1"/>
    <n v="0.02"/>
    <n v="55.452600000000004"/>
  </r>
  <r>
    <s v="T1064"/>
    <x v="2"/>
    <d v="2025-03-06T00:00:00"/>
    <s v="Riley"/>
    <s v="Smith"/>
    <x v="0"/>
    <x v="0"/>
    <x v="3"/>
    <n v="7"/>
    <n v="84.67"/>
    <x v="0"/>
    <n v="592.69000000000005"/>
    <n v="29.634500000000003"/>
    <n v="563.05550000000005"/>
    <x v="1"/>
    <n v="0.05"/>
    <n v="29.634500000000003"/>
  </r>
  <r>
    <s v="T1065"/>
    <x v="2"/>
    <d v="2025-03-07T00:00:00"/>
    <s v="Chris"/>
    <s v="Smith"/>
    <x v="7"/>
    <x v="1"/>
    <x v="3"/>
    <n v="6"/>
    <n v="58.25"/>
    <x v="0"/>
    <n v="349.5"/>
    <n v="17.475000000000001"/>
    <n v="332.02499999999998"/>
    <x v="1"/>
    <n v="0.02"/>
    <n v="6.99"/>
  </r>
  <r>
    <s v="T1066"/>
    <x v="2"/>
    <d v="2025-03-08T00:00:00"/>
    <s v="Pat"/>
    <s v="Lee"/>
    <x v="0"/>
    <x v="0"/>
    <x v="1"/>
    <n v="4"/>
    <n v="759.55"/>
    <x v="2"/>
    <n v="3038.2"/>
    <n v="0"/>
    <n v="3038.2"/>
    <x v="0"/>
    <n v="0.05"/>
    <n v="151.91"/>
  </r>
  <r>
    <s v="T1067"/>
    <x v="2"/>
    <d v="2025-03-09T00:00:00"/>
    <s v="Drew"/>
    <s v="Johnson"/>
    <x v="6"/>
    <x v="1"/>
    <x v="2"/>
    <n v="7"/>
    <n v="635.32000000000005"/>
    <x v="1"/>
    <n v="4447.2400000000007"/>
    <n v="222.36200000000005"/>
    <n v="4224.8780000000006"/>
    <x v="0"/>
    <n v="0.02"/>
    <n v="88.944800000000015"/>
  </r>
  <r>
    <s v="T1068"/>
    <x v="2"/>
    <d v="2025-03-10T00:00:00"/>
    <s v="Alex"/>
    <s v="Brown"/>
    <x v="8"/>
    <x v="1"/>
    <x v="3"/>
    <n v="2"/>
    <n v="450.66"/>
    <x v="0"/>
    <n v="901.32"/>
    <n v="0"/>
    <n v="901.32"/>
    <x v="1"/>
    <n v="0.03"/>
    <n v="27.0396"/>
  </r>
  <r>
    <s v="T1069"/>
    <x v="2"/>
    <d v="2025-03-11T00:00:00"/>
    <s v="Jamie"/>
    <s v="Brown"/>
    <x v="2"/>
    <x v="0"/>
    <x v="3"/>
    <n v="2"/>
    <n v="167.27"/>
    <x v="1"/>
    <n v="334.54"/>
    <n v="0"/>
    <n v="334.54"/>
    <x v="1"/>
    <n v="0.05"/>
    <n v="16.727"/>
  </r>
  <r>
    <s v="T1070"/>
    <x v="2"/>
    <d v="2025-03-12T00:00:00"/>
    <s v="Jamie"/>
    <s v="Lee"/>
    <x v="3"/>
    <x v="0"/>
    <x v="0"/>
    <n v="3"/>
    <n v="39.369999999999997"/>
    <x v="2"/>
    <n v="118.10999999999999"/>
    <n v="0"/>
    <n v="118.10999999999999"/>
    <x v="1"/>
    <n v="0.04"/>
    <n v="4.7243999999999993"/>
  </r>
  <r>
    <s v="T1071"/>
    <x v="2"/>
    <d v="2025-03-13T00:00:00"/>
    <s v="Jordan"/>
    <s v="Smith"/>
    <x v="7"/>
    <x v="1"/>
    <x v="2"/>
    <n v="6"/>
    <n v="46.65"/>
    <x v="0"/>
    <n v="279.89999999999998"/>
    <n v="13.994999999999999"/>
    <n v="265.90499999999997"/>
    <x v="1"/>
    <n v="0.02"/>
    <n v="5.5979999999999999"/>
  </r>
  <r>
    <s v="T1072"/>
    <x v="2"/>
    <d v="2025-03-14T00:00:00"/>
    <s v="Alex"/>
    <s v="Lee"/>
    <x v="3"/>
    <x v="0"/>
    <x v="1"/>
    <n v="3"/>
    <n v="345.37"/>
    <x v="0"/>
    <n v="1036.1100000000001"/>
    <n v="0"/>
    <n v="1036.1100000000001"/>
    <x v="1"/>
    <n v="0.04"/>
    <n v="41.444400000000009"/>
  </r>
  <r>
    <s v="T1073"/>
    <x v="2"/>
    <d v="2025-03-15T00:00:00"/>
    <s v="Pat"/>
    <s v="Lee"/>
    <x v="5"/>
    <x v="0"/>
    <x v="2"/>
    <n v="2"/>
    <n v="297.77"/>
    <x v="2"/>
    <n v="595.54"/>
    <n v="0"/>
    <n v="595.54"/>
    <x v="1"/>
    <n v="0.05"/>
    <n v="29.777000000000001"/>
  </r>
  <r>
    <s v="T1074"/>
    <x v="2"/>
    <d v="2025-03-16T00:00:00"/>
    <s v="Drew"/>
    <s v="Brown"/>
    <x v="2"/>
    <x v="0"/>
    <x v="2"/>
    <n v="4"/>
    <n v="716.73"/>
    <x v="1"/>
    <n v="2866.92"/>
    <n v="0"/>
    <n v="2866.92"/>
    <x v="1"/>
    <n v="0.05"/>
    <n v="143.346"/>
  </r>
  <r>
    <s v="T1075"/>
    <x v="2"/>
    <d v="2025-03-17T00:00:00"/>
    <s v="Jordan"/>
    <s v="Martinez"/>
    <x v="0"/>
    <x v="0"/>
    <x v="2"/>
    <n v="4"/>
    <n v="17.29"/>
    <x v="2"/>
    <n v="69.16"/>
    <n v="0"/>
    <n v="69.16"/>
    <x v="1"/>
    <n v="0.05"/>
    <n v="3.4580000000000002"/>
  </r>
  <r>
    <s v="T1076"/>
    <x v="2"/>
    <d v="2025-03-18T00:00:00"/>
    <s v="Casey"/>
    <s v="Brown"/>
    <x v="5"/>
    <x v="0"/>
    <x v="3"/>
    <n v="3"/>
    <n v="721.58"/>
    <x v="2"/>
    <n v="2164.7400000000002"/>
    <n v="0"/>
    <n v="2164.7400000000002"/>
    <x v="1"/>
    <n v="0.05"/>
    <n v="108.23700000000002"/>
  </r>
  <r>
    <s v="T1077"/>
    <x v="2"/>
    <d v="2025-03-19T00:00:00"/>
    <s v="Unknown"/>
    <s v="Customer"/>
    <x v="8"/>
    <x v="1"/>
    <x v="0"/>
    <n v="3"/>
    <n v="340.91"/>
    <x v="0"/>
    <n v="1022.73"/>
    <n v="0"/>
    <n v="1022.73"/>
    <x v="1"/>
    <n v="0.03"/>
    <n v="30.681899999999999"/>
  </r>
  <r>
    <s v="T1078"/>
    <x v="2"/>
    <d v="2025-03-20T00:00:00"/>
    <s v="Morgan"/>
    <s v="Garcia"/>
    <x v="7"/>
    <x v="1"/>
    <x v="0"/>
    <n v="7"/>
    <n v="549.97"/>
    <x v="2"/>
    <n v="3849.79"/>
    <n v="192.48950000000002"/>
    <n v="3657.3004999999998"/>
    <x v="0"/>
    <n v="0.02"/>
    <n v="76.995800000000003"/>
  </r>
  <r>
    <s v="T1079"/>
    <x v="2"/>
    <d v="2025-03-21T00:00:00"/>
    <s v="Morgan"/>
    <s v="Johnson"/>
    <x v="5"/>
    <x v="0"/>
    <x v="0"/>
    <n v="9"/>
    <n v="36.51"/>
    <x v="2"/>
    <n v="328.59"/>
    <n v="16.429500000000001"/>
    <n v="312.16049999999996"/>
    <x v="1"/>
    <n v="0.05"/>
    <n v="16.429500000000001"/>
  </r>
  <r>
    <s v="T1080"/>
    <x v="2"/>
    <d v="2025-03-22T00:00:00"/>
    <s v="Jordan"/>
    <s v="Garcia"/>
    <x v="1"/>
    <x v="1"/>
    <x v="0"/>
    <n v="9"/>
    <n v="235.36"/>
    <x v="2"/>
    <n v="2118.2400000000002"/>
    <n v="105.91200000000002"/>
    <n v="2012.3280000000002"/>
    <x v="1"/>
    <n v="0.03"/>
    <n v="63.547200000000004"/>
  </r>
  <r>
    <s v="T1081"/>
    <x v="2"/>
    <d v="2025-03-23T00:00:00"/>
    <s v="Morgan"/>
    <s v="Johnson"/>
    <x v="7"/>
    <x v="1"/>
    <x v="0"/>
    <n v="10"/>
    <n v="249.86"/>
    <x v="1"/>
    <n v="2498.6000000000004"/>
    <n v="124.93000000000002"/>
    <n v="2373.6700000000005"/>
    <x v="1"/>
    <n v="0.02"/>
    <n v="49.972000000000008"/>
  </r>
  <r>
    <s v="T1082"/>
    <x v="2"/>
    <d v="2025-03-24T00:00:00"/>
    <s v="Alex"/>
    <s v="Garcia"/>
    <x v="1"/>
    <x v="1"/>
    <x v="0"/>
    <n v="10"/>
    <n v="538.9"/>
    <x v="0"/>
    <n v="5389"/>
    <n v="269.45"/>
    <n v="5119.55"/>
    <x v="0"/>
    <n v="0.03"/>
    <n v="161.66999999999999"/>
  </r>
  <r>
    <s v="T1083"/>
    <x v="2"/>
    <d v="2025-03-25T00:00:00"/>
    <s v="Taylor"/>
    <s v="Smith"/>
    <x v="6"/>
    <x v="1"/>
    <x v="3"/>
    <n v="5"/>
    <n v="18.79"/>
    <x v="0"/>
    <n v="93.949999999999989"/>
    <n v="0"/>
    <n v="93.949999999999989"/>
    <x v="1"/>
    <n v="0.02"/>
    <n v="1.8789999999999998"/>
  </r>
  <r>
    <s v="T1084"/>
    <x v="2"/>
    <d v="2025-03-26T00:00:00"/>
    <s v="Casey"/>
    <s v="Lopez"/>
    <x v="2"/>
    <x v="0"/>
    <x v="2"/>
    <n v="8"/>
    <n v="530.91"/>
    <x v="0"/>
    <n v="4247.28"/>
    <n v="212.364"/>
    <n v="4034.9159999999997"/>
    <x v="0"/>
    <n v="0.05"/>
    <n v="212.364"/>
  </r>
  <r>
    <s v="T1085"/>
    <x v="2"/>
    <d v="2025-03-27T00:00:00"/>
    <s v="Pat"/>
    <s v="Davis"/>
    <x v="3"/>
    <x v="0"/>
    <x v="3"/>
    <n v="2"/>
    <n v="35.26"/>
    <x v="1"/>
    <n v="70.52"/>
    <n v="0"/>
    <n v="70.52"/>
    <x v="1"/>
    <n v="0.04"/>
    <n v="2.8207999999999998"/>
  </r>
  <r>
    <s v="T1086"/>
    <x v="2"/>
    <d v="2025-03-28T00:00:00"/>
    <s v="Morgan"/>
    <s v="Martinez"/>
    <x v="5"/>
    <x v="0"/>
    <x v="2"/>
    <n v="3"/>
    <n v="577.83000000000004"/>
    <x v="1"/>
    <n v="1733.4900000000002"/>
    <n v="0"/>
    <n v="1733.4900000000002"/>
    <x v="1"/>
    <n v="0.05"/>
    <n v="86.674500000000023"/>
  </r>
  <r>
    <s v="T1087"/>
    <x v="2"/>
    <d v="2025-03-29T00:00:00"/>
    <s v="Pat"/>
    <s v="Clark"/>
    <x v="9"/>
    <x v="1"/>
    <x v="2"/>
    <n v="1"/>
    <n v="973.61"/>
    <x v="1"/>
    <n v="973.61"/>
    <n v="0"/>
    <n v="973.61"/>
    <x v="1"/>
    <n v="0.02"/>
    <n v="19.472200000000001"/>
  </r>
  <r>
    <s v="T1088"/>
    <x v="2"/>
    <d v="2025-03-30T00:00:00"/>
    <s v="Chris"/>
    <s v="Lopez"/>
    <x v="4"/>
    <x v="0"/>
    <x v="2"/>
    <n v="1"/>
    <n v="244.48"/>
    <x v="2"/>
    <n v="244.48"/>
    <n v="0"/>
    <n v="244.48"/>
    <x v="1"/>
    <n v="0.04"/>
    <n v="9.7791999999999994"/>
  </r>
  <r>
    <s v="T1089"/>
    <x v="2"/>
    <d v="2025-03-31T00:00:00"/>
    <s v="Morgan"/>
    <s v="Brown"/>
    <x v="3"/>
    <x v="0"/>
    <x v="2"/>
    <n v="8"/>
    <n v="646.37"/>
    <x v="2"/>
    <n v="5170.96"/>
    <n v="258.548"/>
    <n v="4912.4120000000003"/>
    <x v="0"/>
    <n v="0.04"/>
    <n v="206.83840000000001"/>
  </r>
  <r>
    <s v="T1090"/>
    <x v="3"/>
    <d v="2025-04-01T00:00:00"/>
    <s v="Chris"/>
    <s v="Brown"/>
    <x v="1"/>
    <x v="1"/>
    <x v="3"/>
    <n v="6"/>
    <n v="896.98"/>
    <x v="1"/>
    <n v="5381.88"/>
    <n v="269.09399999999999"/>
    <n v="5112.7860000000001"/>
    <x v="0"/>
    <n v="0.03"/>
    <n v="161.4564"/>
  </r>
  <r>
    <s v="T1091"/>
    <x v="3"/>
    <d v="2025-04-02T00:00:00"/>
    <s v="Casey"/>
    <s v="Martinez"/>
    <x v="6"/>
    <x v="1"/>
    <x v="3"/>
    <n v="5"/>
    <n v="554.62"/>
    <x v="0"/>
    <n v="2773.1"/>
    <n v="0"/>
    <n v="2773.1"/>
    <x v="1"/>
    <n v="0.02"/>
    <n v="55.461999999999996"/>
  </r>
  <r>
    <s v="T1092"/>
    <x v="3"/>
    <d v="2025-04-03T00:00:00"/>
    <s v="Morgan"/>
    <s v="Smith"/>
    <x v="3"/>
    <x v="0"/>
    <x v="3"/>
    <n v="6"/>
    <n v="731.13"/>
    <x v="2"/>
    <n v="4386.78"/>
    <n v="219.339"/>
    <n v="4167.4409999999998"/>
    <x v="0"/>
    <n v="0.04"/>
    <n v="175.47119999999998"/>
  </r>
  <r>
    <s v="T1093"/>
    <x v="3"/>
    <d v="2025-04-04T00:00:00"/>
    <s v="Jordan"/>
    <s v="Martinez"/>
    <x v="4"/>
    <x v="0"/>
    <x v="3"/>
    <n v="1"/>
    <n v="985.46"/>
    <x v="1"/>
    <n v="985.46"/>
    <n v="0"/>
    <n v="985.46"/>
    <x v="1"/>
    <n v="0.04"/>
    <n v="39.418400000000005"/>
  </r>
  <r>
    <s v="T1094"/>
    <x v="3"/>
    <d v="2025-04-05T00:00:00"/>
    <s v="Jamie"/>
    <s v="Smith"/>
    <x v="7"/>
    <x v="1"/>
    <x v="2"/>
    <n v="4"/>
    <n v="169.47"/>
    <x v="2"/>
    <n v="677.88"/>
    <n v="0"/>
    <n v="677.88"/>
    <x v="1"/>
    <n v="0.02"/>
    <n v="13.557600000000001"/>
  </r>
  <r>
    <s v="T1095"/>
    <x v="3"/>
    <d v="2025-04-06T00:00:00"/>
    <s v="Casey"/>
    <s v="Lopez"/>
    <x v="6"/>
    <x v="1"/>
    <x v="0"/>
    <n v="2"/>
    <n v="534.66999999999996"/>
    <x v="1"/>
    <n v="1069.3399999999999"/>
    <n v="0"/>
    <n v="1069.3399999999999"/>
    <x v="1"/>
    <n v="0.02"/>
    <n v="21.386799999999997"/>
  </r>
  <r>
    <s v="T1096"/>
    <x v="3"/>
    <d v="2025-04-07T00:00:00"/>
    <s v="Pat"/>
    <s v="Lopez"/>
    <x v="3"/>
    <x v="0"/>
    <x v="0"/>
    <n v="6"/>
    <n v="987.41"/>
    <x v="1"/>
    <n v="5924.46"/>
    <n v="296.22300000000001"/>
    <n v="5628.2370000000001"/>
    <x v="0"/>
    <n v="0.04"/>
    <n v="236.97839999999999"/>
  </r>
  <r>
    <s v="T1097"/>
    <x v="3"/>
    <d v="2025-04-08T00:00:00"/>
    <s v="Taylor"/>
    <s v="Clark"/>
    <x v="6"/>
    <x v="1"/>
    <x v="0"/>
    <n v="3"/>
    <n v="370.38"/>
    <x v="1"/>
    <n v="1111.1399999999999"/>
    <n v="0"/>
    <n v="1111.1399999999999"/>
    <x v="1"/>
    <n v="0.02"/>
    <n v="22.222799999999999"/>
  </r>
  <r>
    <s v="T1098"/>
    <x v="3"/>
    <d v="2025-04-09T00:00:00"/>
    <s v="Drew"/>
    <s v="Martinez"/>
    <x v="5"/>
    <x v="0"/>
    <x v="1"/>
    <n v="1"/>
    <n v="374.35"/>
    <x v="2"/>
    <n v="374.35"/>
    <n v="0"/>
    <n v="374.35"/>
    <x v="1"/>
    <n v="0.05"/>
    <n v="18.717500000000001"/>
  </r>
  <r>
    <s v="T1099"/>
    <x v="3"/>
    <d v="2025-04-10T00:00:00"/>
    <s v="Drew"/>
    <s v="Johnson"/>
    <x v="6"/>
    <x v="1"/>
    <x v="2"/>
    <n v="8"/>
    <n v="26.11"/>
    <x v="0"/>
    <n v="208.88"/>
    <n v="10.444000000000001"/>
    <n v="198.43600000000001"/>
    <x v="1"/>
    <n v="0.02"/>
    <n v="4.17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7DE14C-2922-4FEE-8477-7BE20C6EE40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E13:F16" firstHeaderRow="1" firstDataRow="1" firstDataCol="1"/>
  <pivotFields count="17">
    <pivotField showAll="0"/>
    <pivotField showAll="0"/>
    <pivotField numFmtId="165" showAll="0"/>
    <pivotField showAll="0"/>
    <pivotField showAll="0"/>
    <pivotField showAll="0"/>
    <pivotField axis="axisRow" dataField="1" showAll="0">
      <items count="3">
        <item x="1"/>
        <item x="0"/>
        <item t="default"/>
      </items>
    </pivotField>
    <pivotField showAll="0"/>
    <pivotField showAll="0"/>
    <pivotField numFmtId="166" showAll="0"/>
    <pivotField showAll="0"/>
    <pivotField numFmtId="166" showAll="0"/>
    <pivotField numFmtId="167" showAll="0"/>
    <pivotField numFmtId="166" showAll="0"/>
    <pivotField showAll="0"/>
    <pivotField numFmtId="9" showAll="0"/>
    <pivotField numFmtId="166" showAll="0"/>
  </pivotFields>
  <rowFields count="1">
    <field x="6"/>
  </rowFields>
  <rowItems count="3">
    <i>
      <x/>
    </i>
    <i>
      <x v="1"/>
    </i>
    <i t="grand">
      <x/>
    </i>
  </rowItems>
  <colItems count="1">
    <i/>
  </colItems>
  <dataFields count="1">
    <dataField name="Count of Category" fld="6" subtotal="count" showDataAs="percentOfTotal" baseField="6" baseItem="0" numFmtId="9"/>
  </dataFields>
  <formats count="1">
    <format dxfId="26">
      <pivotArea outline="0" collapsedLevelsAreSubtotals="1" fieldPosition="0"/>
    </format>
  </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423075-F4D0-47AF-89BE-9284B42720F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Products" colHeaderCaption="Date">
  <location ref="H14:M26" firstHeaderRow="1" firstDataRow="2" firstDataCol="1"/>
  <pivotFields count="17">
    <pivotField showAll="0"/>
    <pivotField axis="axisCol" showAll="0">
      <items count="5">
        <item x="3"/>
        <item x="1"/>
        <item x="0"/>
        <item x="2"/>
        <item t="default"/>
      </items>
    </pivotField>
    <pivotField numFmtId="165" showAll="0"/>
    <pivotField showAll="0"/>
    <pivotField showAll="0"/>
    <pivotField axis="axisRow" showAll="0" sortType="descending">
      <items count="11">
        <item x="2"/>
        <item x="9"/>
        <item x="7"/>
        <item x="1"/>
        <item x="0"/>
        <item x="5"/>
        <item x="6"/>
        <item x="4"/>
        <item x="8"/>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6" showAll="0"/>
    <pivotField showAll="0"/>
    <pivotField dataField="1" numFmtId="166" showAll="0"/>
    <pivotField numFmtId="167" showAll="0"/>
    <pivotField numFmtId="166" showAll="0"/>
    <pivotField showAll="0"/>
    <pivotField numFmtId="9" showAll="0"/>
    <pivotField numFmtId="166" showAll="0"/>
  </pivotFields>
  <rowFields count="1">
    <field x="5"/>
  </rowFields>
  <rowItems count="11">
    <i>
      <x v="9"/>
    </i>
    <i>
      <x/>
    </i>
    <i>
      <x v="7"/>
    </i>
    <i>
      <x v="3"/>
    </i>
    <i>
      <x v="2"/>
    </i>
    <i>
      <x v="5"/>
    </i>
    <i>
      <x v="8"/>
    </i>
    <i>
      <x v="6"/>
    </i>
    <i>
      <x v="4"/>
    </i>
    <i>
      <x v="1"/>
    </i>
    <i t="grand">
      <x/>
    </i>
  </rowItems>
  <colFields count="1">
    <field x="1"/>
  </colFields>
  <colItems count="5">
    <i>
      <x/>
    </i>
    <i>
      <x v="1"/>
    </i>
    <i>
      <x v="2"/>
    </i>
    <i>
      <x v="3"/>
    </i>
    <i t="grand">
      <x/>
    </i>
  </colItems>
  <dataFields count="1">
    <dataField name="Sum of TotalSales" fld="11" baseField="0" baseItem="0" numFmtId="166"/>
  </dataField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CC381E-7A36-452E-A18D-F91BDB897D8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B12:C15" firstHeaderRow="1" firstDataRow="1" firstDataCol="1"/>
  <pivotFields count="17">
    <pivotField showAll="0"/>
    <pivotField showAll="0"/>
    <pivotField numFmtId="165" showAll="0"/>
    <pivotField showAll="0"/>
    <pivotField showAll="0"/>
    <pivotField showAll="0"/>
    <pivotField axis="axisRow" showAll="0">
      <items count="3">
        <item x="1"/>
        <item x="0"/>
        <item t="default"/>
      </items>
    </pivotField>
    <pivotField showAll="0"/>
    <pivotField showAll="0"/>
    <pivotField dataField="1" numFmtId="166" showAll="0"/>
    <pivotField showAll="0"/>
    <pivotField numFmtId="166" showAll="0"/>
    <pivotField numFmtId="167" showAll="0"/>
    <pivotField numFmtId="166" showAll="0"/>
    <pivotField showAll="0"/>
    <pivotField numFmtId="9" showAll="0"/>
    <pivotField numFmtId="166" showAll="0"/>
  </pivotFields>
  <rowFields count="1">
    <field x="6"/>
  </rowFields>
  <rowItems count="3">
    <i>
      <x/>
    </i>
    <i>
      <x v="1"/>
    </i>
    <i t="grand">
      <x/>
    </i>
  </rowItems>
  <colItems count="1">
    <i/>
  </colItems>
  <dataFields count="1">
    <dataField name="Average of UnitPrice" fld="9" subtotal="average" baseField="6" baseItem="1" numFmtId="166"/>
  </dataField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0A9844-5481-4C0A-A08B-2D9A9461207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 Status">
  <location ref="E6:E7" firstHeaderRow="1" firstDataRow="1" firstDataCol="0"/>
  <pivotFields count="17">
    <pivotField showAll="0"/>
    <pivotField showAll="0"/>
    <pivotField numFmtId="165" showAll="0"/>
    <pivotField showAll="0"/>
    <pivotField showAll="0"/>
    <pivotField showAll="0">
      <items count="11">
        <item x="2"/>
        <item x="9"/>
        <item x="7"/>
        <item x="1"/>
        <item x="0"/>
        <item x="5"/>
        <item x="6"/>
        <item x="4"/>
        <item x="8"/>
        <item x="3"/>
        <item t="default"/>
      </items>
    </pivotField>
    <pivotField showAll="0"/>
    <pivotField showAll="0"/>
    <pivotField showAll="0"/>
    <pivotField numFmtId="166" showAll="0"/>
    <pivotField showAll="0"/>
    <pivotField numFmtId="166" showAll="0"/>
    <pivotField numFmtId="167" showAll="0"/>
    <pivotField dataField="1" numFmtId="166" showAll="0"/>
    <pivotField showAll="0"/>
    <pivotField numFmtId="9" showAll="0"/>
    <pivotField numFmtId="166" showAll="0"/>
  </pivotFields>
  <rowItems count="1">
    <i/>
  </rowItems>
  <colItems count="1">
    <i/>
  </colItems>
  <dataFields count="1">
    <dataField name="Sum of NetSales" fld="13" baseField="0" baseItem="0" numFmtId="166"/>
  </dataFields>
  <formats count="3">
    <format dxfId="29">
      <pivotArea type="all" dataOnly="0" outline="0" fieldPosition="0"/>
    </format>
    <format dxfId="28">
      <pivotArea outline="0" collapsedLevelsAreSubtotals="1" fieldPosition="0"/>
    </format>
    <format dxfId="27">
      <pivotArea dataOnly="0" labelOnly="1" outline="0" axis="axisValues" fieldPosition="0"/>
    </format>
  </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52C06E-4139-4870-A348-35E00486BCF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B18:B19" firstHeaderRow="1" firstDataRow="1" firstDataCol="0"/>
  <pivotFields count="17">
    <pivotField showAll="0"/>
    <pivotField showAll="0"/>
    <pivotField numFmtId="165" showAll="0"/>
    <pivotField showAll="0"/>
    <pivotField showAll="0"/>
    <pivotField showAll="0">
      <items count="11">
        <item x="2"/>
        <item x="9"/>
        <item x="7"/>
        <item x="1"/>
        <item x="0"/>
        <item x="5"/>
        <item x="6"/>
        <item x="4"/>
        <item x="8"/>
        <item x="3"/>
        <item t="default"/>
      </items>
    </pivotField>
    <pivotField showAll="0"/>
    <pivotField showAll="0"/>
    <pivotField dataField="1" showAll="0"/>
    <pivotField numFmtId="166" showAll="0"/>
    <pivotField showAll="0"/>
    <pivotField numFmtId="166" showAll="0"/>
    <pivotField numFmtId="167" showAll="0"/>
    <pivotField numFmtId="166" showAll="0"/>
    <pivotField showAll="0"/>
    <pivotField numFmtId="9" showAll="0"/>
    <pivotField numFmtId="166" showAll="0"/>
  </pivotFields>
  <rowItems count="1">
    <i/>
  </rowItems>
  <colItems count="1">
    <i/>
  </colItems>
  <dataFields count="1">
    <dataField name="Sum of Quantity" fld="8" baseField="0" baseItem="0"/>
  </dataField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271DD1E-E3AC-471D-8327-44289FA41B1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 Status">
  <location ref="E3:E4" firstHeaderRow="1" firstDataRow="1" firstDataCol="0"/>
  <pivotFields count="17">
    <pivotField showAll="0"/>
    <pivotField showAll="0"/>
    <pivotField numFmtId="165" showAll="0"/>
    <pivotField showAll="0"/>
    <pivotField showAll="0"/>
    <pivotField showAll="0"/>
    <pivotField showAll="0"/>
    <pivotField showAll="0"/>
    <pivotField showAll="0"/>
    <pivotField numFmtId="166" showAll="0"/>
    <pivotField showAll="0"/>
    <pivotField dataField="1" numFmtId="166" showAll="0"/>
    <pivotField numFmtId="167" showAll="0"/>
    <pivotField numFmtId="166" showAll="0"/>
    <pivotField showAll="0"/>
    <pivotField numFmtId="9" showAll="0"/>
    <pivotField numFmtId="166" showAll="0"/>
  </pivotFields>
  <rowItems count="1">
    <i/>
  </rowItems>
  <colItems count="1">
    <i/>
  </colItems>
  <dataFields count="1">
    <dataField name="Average Order Value" fld="11" subtotal="average" baseField="0" baseItem="0" numFmtId="166"/>
  </dataField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97F7EA-A281-4A1C-9201-7DCEDE6DCBC6}" name="PivotTable8" cacheId="0" applyNumberFormats="0" applyBorderFormats="0" applyFontFormats="0" applyPatternFormats="0" applyAlignmentFormats="0" applyWidthHeightFormats="1" dataCaption="Values" updatedVersion="8" minRefreshableVersion="3" preserveFormatting="0" useAutoFormatting="1" itemPrintTitles="1" createdVersion="8" indent="0" outline="1" outlineData="1" multipleFieldFilters="0" chartFormat="15" rowHeaderCaption="Payment Method">
  <location ref="E19:F23" firstHeaderRow="1" firstDataRow="1" firstDataCol="1"/>
  <pivotFields count="17">
    <pivotField showAll="0"/>
    <pivotField showAll="0"/>
    <pivotField numFmtId="165" showAll="0"/>
    <pivotField showAll="0"/>
    <pivotField showAll="0"/>
    <pivotField showAll="0">
      <items count="11">
        <item x="2"/>
        <item x="9"/>
        <item x="7"/>
        <item x="1"/>
        <item x="0"/>
        <item x="5"/>
        <item x="6"/>
        <item x="4"/>
        <item x="8"/>
        <item x="3"/>
        <item t="default"/>
      </items>
    </pivotField>
    <pivotField showAll="0"/>
    <pivotField showAll="0"/>
    <pivotField showAll="0"/>
    <pivotField numFmtId="166" showAll="0"/>
    <pivotField axis="axisRow" showAll="0">
      <items count="4">
        <item x="2"/>
        <item x="0"/>
        <item x="1"/>
        <item t="default"/>
      </items>
    </pivotField>
    <pivotField dataField="1" numFmtId="166" showAll="0"/>
    <pivotField numFmtId="167" showAll="0"/>
    <pivotField numFmtId="166" showAll="0"/>
    <pivotField showAll="0"/>
    <pivotField numFmtId="9" showAll="0"/>
    <pivotField numFmtId="166" showAll="0"/>
  </pivotFields>
  <rowFields count="1">
    <field x="10"/>
  </rowFields>
  <rowItems count="4">
    <i>
      <x/>
    </i>
    <i>
      <x v="1"/>
    </i>
    <i>
      <x v="2"/>
    </i>
    <i t="grand">
      <x/>
    </i>
  </rowItems>
  <colItems count="1">
    <i/>
  </colItems>
  <dataFields count="1">
    <dataField name="Sum of TotalSales" fld="11" showDataAs="percentOfTotal" baseField="10" baseItem="0" numFmtId="9"/>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0" count="1" selected="0">
            <x v="0"/>
          </reference>
        </references>
      </pivotArea>
    </chartFormat>
    <chartFormat chart="5" format="7">
      <pivotArea type="data" outline="0" fieldPosition="0">
        <references count="2">
          <reference field="4294967294" count="1" selected="0">
            <x v="0"/>
          </reference>
          <reference field="10" count="1" selected="0">
            <x v="1"/>
          </reference>
        </references>
      </pivotArea>
    </chartFormat>
    <chartFormat chart="5" format="8">
      <pivotArea type="data" outline="0" fieldPosition="0">
        <references count="2">
          <reference field="4294967294" count="1" selected="0">
            <x v="0"/>
          </reference>
          <reference field="10" count="1" selected="0">
            <x v="2"/>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B75B547-0F4F-4D07-AC8B-658938FB8653}" name="PivotTable1" cacheId="0" applyNumberFormats="0" applyBorderFormats="0" applyFontFormats="0" applyPatternFormats="0" applyAlignmentFormats="0" applyWidthHeightFormats="1" dataCaption="Values" updatedVersion="8" minRefreshableVersion="3" preserveFormatting="0" useAutoFormatting="1" itemPrintTitles="1" createdVersion="8" indent="0" outline="1" outlineData="1" multipleFieldFilters="0" chartFormat="14" rowHeaderCaption="Region">
  <location ref="B4:C9" firstHeaderRow="1" firstDataRow="1" firstDataCol="1"/>
  <pivotFields count="17">
    <pivotField showAll="0"/>
    <pivotField showAll="0"/>
    <pivotField numFmtId="165" showAll="0"/>
    <pivotField showAll="0"/>
    <pivotField showAll="0"/>
    <pivotField showAll="0">
      <items count="11">
        <item x="2"/>
        <item x="9"/>
        <item x="7"/>
        <item x="1"/>
        <item x="0"/>
        <item x="5"/>
        <item x="6"/>
        <item x="4"/>
        <item x="8"/>
        <item x="3"/>
        <item t="default"/>
      </items>
    </pivotField>
    <pivotField showAll="0"/>
    <pivotField axis="axisRow" showAll="0">
      <items count="5">
        <item x="3"/>
        <item x="2"/>
        <item x="1"/>
        <item x="0"/>
        <item t="default"/>
      </items>
    </pivotField>
    <pivotField showAll="0"/>
    <pivotField numFmtId="166" showAll="0"/>
    <pivotField showAll="0"/>
    <pivotField dataField="1" numFmtId="166" showAll="0"/>
    <pivotField numFmtId="167" showAll="0"/>
    <pivotField numFmtId="166" showAll="0"/>
    <pivotField showAll="0"/>
    <pivotField numFmtId="9" showAll="0"/>
    <pivotField numFmtId="166" showAll="0"/>
  </pivotFields>
  <rowFields count="1">
    <field x="7"/>
  </rowFields>
  <rowItems count="5">
    <i>
      <x/>
    </i>
    <i>
      <x v="1"/>
    </i>
    <i>
      <x v="2"/>
    </i>
    <i>
      <x v="3"/>
    </i>
    <i t="grand">
      <x/>
    </i>
  </rowItems>
  <colItems count="1">
    <i/>
  </colItems>
  <dataFields count="1">
    <dataField name="Sum of TotalSales" fld="11" baseField="0" baseItem="0" numFmtId="166"/>
  </dataField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7" count="1" selected="0">
            <x v="3"/>
          </reference>
        </references>
      </pivotArea>
    </chartFormat>
    <chartFormat chart="3" format="4">
      <pivotArea type="data" outline="0" fieldPosition="0">
        <references count="2">
          <reference field="4294967294" count="1" selected="0">
            <x v="0"/>
          </reference>
          <reference field="7" count="1" selected="0">
            <x v="2"/>
          </reference>
        </references>
      </pivotArea>
    </chartFormat>
    <chartFormat chart="3" format="5">
      <pivotArea type="data" outline="0" fieldPosition="0">
        <references count="2">
          <reference field="4294967294" count="1" selected="0">
            <x v="0"/>
          </reference>
          <reference field="7" count="1" selected="0">
            <x v="1"/>
          </reference>
        </references>
      </pivotArea>
    </chartFormat>
    <chartFormat chart="3" format="6">
      <pivotArea type="data" outline="0" fieldPosition="0">
        <references count="2">
          <reference field="4294967294" count="1" selected="0">
            <x v="0"/>
          </reference>
          <reference field="7" count="1" selected="0">
            <x v="0"/>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91F9598-7DFA-4C9E-8A06-14B69EE17A08}"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 Status">
  <location ref="E9:E10" firstHeaderRow="1" firstDataRow="1" firstDataCol="0"/>
  <pivotFields count="17">
    <pivotField showAll="0"/>
    <pivotField showAll="0"/>
    <pivotField numFmtId="165" showAll="0"/>
    <pivotField showAll="0"/>
    <pivotField showAll="0"/>
    <pivotField showAll="0">
      <items count="11">
        <item x="2"/>
        <item x="9"/>
        <item x="7"/>
        <item x="1"/>
        <item x="0"/>
        <item x="5"/>
        <item x="6"/>
        <item x="4"/>
        <item x="8"/>
        <item x="3"/>
        <item t="default"/>
      </items>
    </pivotField>
    <pivotField showAll="0"/>
    <pivotField showAll="0"/>
    <pivotField showAll="0"/>
    <pivotField numFmtId="166" showAll="0"/>
    <pivotField showAll="0"/>
    <pivotField numFmtId="166" showAll="0"/>
    <pivotField dataField="1" numFmtId="167" showAll="0"/>
    <pivotField numFmtId="166" showAll="0"/>
    <pivotField showAll="0"/>
    <pivotField numFmtId="9" showAll="0"/>
    <pivotField numFmtId="166" showAll="0"/>
  </pivotFields>
  <rowItems count="1">
    <i/>
  </rowItems>
  <colItems count="1">
    <i/>
  </colItems>
  <dataFields count="1">
    <dataField name="Average of Discount" fld="12" subtotal="average" baseField="0" baseItem="0" numFmtId="167"/>
  </dataField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C1B2E93-9374-4012-B460-9A0C3BE88135}"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Month/Year">
  <location ref="H4:I9" firstHeaderRow="1" firstDataRow="1" firstDataCol="1"/>
  <pivotFields count="17">
    <pivotField showAll="0"/>
    <pivotField axis="axisRow" showAll="0" sortType="descending">
      <items count="5">
        <item x="3"/>
        <item x="1"/>
        <item x="0"/>
        <item x="2"/>
        <item t="default"/>
      </items>
      <autoSortScope>
        <pivotArea dataOnly="0" outline="0" fieldPosition="0">
          <references count="1">
            <reference field="4294967294" count="1" selected="0">
              <x v="0"/>
            </reference>
          </references>
        </pivotArea>
      </autoSortScope>
    </pivotField>
    <pivotField numFmtId="165" showAll="0"/>
    <pivotField showAll="0"/>
    <pivotField showAll="0"/>
    <pivotField showAll="0">
      <items count="11">
        <item x="2"/>
        <item x="9"/>
        <item x="7"/>
        <item x="1"/>
        <item x="0"/>
        <item x="5"/>
        <item x="6"/>
        <item x="4"/>
        <item x="8"/>
        <item x="3"/>
        <item t="default"/>
      </items>
    </pivotField>
    <pivotField showAll="0"/>
    <pivotField showAll="0"/>
    <pivotField showAll="0"/>
    <pivotField numFmtId="166" showAll="0"/>
    <pivotField showAll="0"/>
    <pivotField dataField="1" numFmtId="166" showAll="0"/>
    <pivotField numFmtId="167" showAll="0"/>
    <pivotField numFmtId="166" showAll="0"/>
    <pivotField showAll="0"/>
    <pivotField numFmtId="9" showAll="0"/>
    <pivotField numFmtId="166" showAll="0"/>
  </pivotFields>
  <rowFields count="1">
    <field x="1"/>
  </rowFields>
  <rowItems count="5">
    <i>
      <x v="2"/>
    </i>
    <i>
      <x v="1"/>
    </i>
    <i>
      <x v="3"/>
    </i>
    <i>
      <x/>
    </i>
    <i t="grand">
      <x/>
    </i>
  </rowItems>
  <colItems count="1">
    <i/>
  </colItems>
  <dataFields count="1">
    <dataField name="Sum of TotalSales" fld="11" baseField="0" baseItem="0" numFmtId="166"/>
  </dataFields>
  <chartFormats count="5">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 count="1" selected="0">
            <x v="3"/>
          </reference>
        </references>
      </pivotArea>
    </chartFormat>
    <chartFormat chart="9" format="6">
      <pivotArea type="data" outline="0" fieldPosition="0">
        <references count="2">
          <reference field="4294967294" count="1" selected="0">
            <x v="0"/>
          </reference>
          <reference field="1" count="1" selected="0">
            <x v="2"/>
          </reference>
        </references>
      </pivotArea>
    </chartFormat>
    <chartFormat chart="9" format="7">
      <pivotArea type="data" outline="0" fieldPosition="0">
        <references count="2">
          <reference field="4294967294" count="1" selected="0">
            <x v="0"/>
          </reference>
          <reference field="1" count="1" selected="0">
            <x v="1"/>
          </reference>
        </references>
      </pivotArea>
    </chartFormat>
    <chartFormat chart="9" format="8">
      <pivotArea type="data" outline="0" fieldPosition="0">
        <references count="2">
          <reference field="4294967294" count="1" selected="0">
            <x v="0"/>
          </reference>
          <reference field="1" count="1" selected="0">
            <x v="0"/>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CFD672A-B42D-4FBA-9F51-177150DC76D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rowHeaderCaption="Sales Status">
  <location ref="E26:F29" firstHeaderRow="1" firstDataRow="1" firstDataCol="1"/>
  <pivotFields count="17">
    <pivotField showAll="0"/>
    <pivotField showAll="0"/>
    <pivotField numFmtId="165" showAll="0"/>
    <pivotField showAll="0"/>
    <pivotField showAll="0"/>
    <pivotField showAll="0">
      <items count="11">
        <item x="2"/>
        <item x="9"/>
        <item x="7"/>
        <item x="1"/>
        <item x="0"/>
        <item x="5"/>
        <item x="6"/>
        <item x="4"/>
        <item x="8"/>
        <item x="3"/>
        <item t="default"/>
      </items>
    </pivotField>
    <pivotField showAll="0"/>
    <pivotField showAll="0"/>
    <pivotField showAll="0"/>
    <pivotField numFmtId="166" showAll="0"/>
    <pivotField showAll="0"/>
    <pivotField numFmtId="166" showAll="0"/>
    <pivotField numFmtId="167" showAll="0"/>
    <pivotField numFmtId="166" showAll="0"/>
    <pivotField axis="axisRow" dataField="1" showAll="0">
      <items count="3">
        <item x="0"/>
        <item x="1"/>
        <item t="default"/>
      </items>
    </pivotField>
    <pivotField numFmtId="9" showAll="0"/>
    <pivotField numFmtId="166" showAll="0"/>
  </pivotFields>
  <rowFields count="1">
    <field x="14"/>
  </rowFields>
  <rowItems count="3">
    <i>
      <x/>
    </i>
    <i>
      <x v="1"/>
    </i>
    <i t="grand">
      <x/>
    </i>
  </rowItems>
  <colItems count="1">
    <i/>
  </colItems>
  <dataFields count="1">
    <dataField name="Count of SalesStatus" fld="14" subtotal="count" showDataAs="percentOfTotal" baseField="14" baseItem="0" numFmtId="9"/>
  </dataFields>
  <formats count="1">
    <format dxfId="30">
      <pivotArea outline="0" collapsedLevelsAreSubtotals="1" fieldPosition="0"/>
    </format>
  </formats>
  <chartFormats count="2">
    <chartFormat chart="26" format="2"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14" count="1" selected="0">
            <x v="1"/>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7FDE42A-A6C5-4B7A-B279-0EA6FB1499E0}" sourceName="Product">
  <pivotTables>
    <pivotTable tabId="5" name="PivotTable8"/>
    <pivotTable tabId="5" name="PivotTable1"/>
    <pivotTable tabId="5" name="PivotTable12"/>
    <pivotTable tabId="5" name="PivotTable13"/>
    <pivotTable tabId="5" name="PivotTable14"/>
    <pivotTable tabId="5" name="PivotTable9"/>
    <pivotTable tabId="5" name="PivotTable7"/>
  </pivotTables>
  <data>
    <tabular pivotCacheId="1618359693">
      <items count="10">
        <i x="2" s="1"/>
        <i x="9" s="1"/>
        <i x="7" s="1"/>
        <i x="1" s="1"/>
        <i x="0" s="1"/>
        <i x="5" s="1"/>
        <i x="6" s="1"/>
        <i x="4" s="1"/>
        <i x="8"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9BF31027-FBF4-44DE-9C4D-8F1AEB01F65B}" cache="Slicer_Product" caption="Product"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FD0003-D302-401B-8805-44A533B4B2D0}" name="Table1" displayName="Table1" ref="A1:Q102" totalsRowCount="1" headerRowDxfId="25" headerRowBorderDxfId="24" tableBorderDxfId="23">
  <autoFilter ref="A1:Q101" xr:uid="{0FFD0003-D302-401B-8805-44A533B4B2D0}"/>
  <tableColumns count="17">
    <tableColumn id="1" xr3:uid="{8A6C2E50-E6C7-4D07-98DD-AF87FF301E3A}" name="TransactionID"/>
    <tableColumn id="17" xr3:uid="{AE243385-CFE9-4702-9E65-D1215F90AF39}" name="Month/Year" dataDxfId="19" totalsRowDxfId="18">
      <calculatedColumnFormula>TEXT(Table1[[#This Row],[ExactDate]],"mmm-yyyy")</calculatedColumnFormula>
    </tableColumn>
    <tableColumn id="2" xr3:uid="{18BD4C14-AAEF-41CD-8196-56CB15854EDB}" name="ExactDate" dataDxfId="17" totalsRowDxfId="16"/>
    <tableColumn id="3" xr3:uid="{9A83C51E-BB59-4075-86CB-19BE23EC1BD7}" name="FirstName"/>
    <tableColumn id="11" xr3:uid="{5E2AC639-ED26-4450-A9B2-A51E9DC97AC2}" name="LastName"/>
    <tableColumn id="4" xr3:uid="{576AEC57-984A-4EA4-B527-225052FC719A}" name="Product"/>
    <tableColumn id="5" xr3:uid="{4D984E81-D39A-459C-915A-2C246224AB08}" name="Category" dataDxfId="15" totalsRowDxfId="14"/>
    <tableColumn id="6" xr3:uid="{CCB5375B-FCD8-42B7-9AB9-4D12AB4CFC29}" name="Region"/>
    <tableColumn id="7" xr3:uid="{B66B9C88-8992-4C87-A0DA-72D9FF4FE53A}" name="Quantity"/>
    <tableColumn id="8" xr3:uid="{148588B6-940D-49B0-82A9-40400FBBA06C}" name="UnitPrice" dataDxfId="13" totalsRowDxfId="12"/>
    <tableColumn id="9" xr3:uid="{6E27C699-5A64-40EA-979D-6C6EA1149026}" name="PaymentMethod"/>
    <tableColumn id="10" xr3:uid="{FD8F1E5F-CCC2-4947-82A7-EC2E75310448}" name="TotalSales" dataDxfId="11" totalsRowDxfId="10">
      <calculatedColumnFormula>Table1[[#This Row],[Quantity]]*Table1[[#This Row],[UnitPrice]]</calculatedColumnFormula>
    </tableColumn>
    <tableColumn id="12" xr3:uid="{C39F81F4-85B5-46F4-B6A4-09F4EB159337}" name="Discount" dataDxfId="9" totalsRowDxfId="8">
      <calculatedColumnFormula>IF(Table1[[#This Row],[Quantity]]&gt;5,5%*Table1[[#This Row],[TotalSales]],0)</calculatedColumnFormula>
    </tableColumn>
    <tableColumn id="13" xr3:uid="{CDBA6B69-1CBC-4DB9-8488-07BA48496D9C}" name="NetSales" dataDxfId="7" totalsRowDxfId="6">
      <calculatedColumnFormula>Table1[[#This Row],[TotalSales]]-Table1[[#This Row],[Discount]]</calculatedColumnFormula>
    </tableColumn>
    <tableColumn id="14" xr3:uid="{FD1CA841-7EA0-4BDD-957B-F275C2DC40A0}" name="SalesStatus" dataDxfId="5" totalsRowDxfId="4">
      <calculatedColumnFormula>IF(Table1[[#This Row],[TotalSales]]&gt;3000,"High Value","Regular")</calculatedColumnFormula>
    </tableColumn>
    <tableColumn id="15" xr3:uid="{DEF89393-66CF-45B7-9618-A1A82A77C20A}" name="CommissionRate" dataDxfId="3" totalsRowDxfId="2" dataCellStyle="Percent" totalsRowCellStyle="Percent">
      <calculatedColumnFormula>VLOOKUP(Table1[[#This Row],[Product]],Table2[],2)</calculatedColumnFormula>
    </tableColumn>
    <tableColumn id="16" xr3:uid="{33D086C5-85E2-46D2-B313-348FDD05259F}" name="Commission" dataDxfId="1" totalsRowDxfId="0">
      <calculatedColumnFormula>Table1[[#This Row],[TotalSales]]*Table1[[#This Row],[CommissionRate]]</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7557958-FCB0-425D-8E90-AC073E3F1536}" name="Table2" displayName="Table2" ref="S1:U11" totalsRowShown="0" headerRowDxfId="22">
  <autoFilter ref="S1:U11" xr:uid="{67557958-FCB0-425D-8E90-AC073E3F1536}"/>
  <tableColumns count="3">
    <tableColumn id="1" xr3:uid="{771793C7-F9C9-44F0-A3CF-C967EF69362E}" name="Product" dataDxfId="21"/>
    <tableColumn id="2" xr3:uid="{02FEAAB0-4111-423C-BD90-9FF4AC05BE61}" name="CommisionRate" dataCellStyle="Percent"/>
    <tableColumn id="4" xr3:uid="{5E023F28-B120-468F-8908-42B5981333D6}" name="Category" dataDxfId="20"/>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B6146-FE9B-4A63-AE5A-96068271D731}">
  <dimension ref="S7"/>
  <sheetViews>
    <sheetView showGridLines="0" tabSelected="1" zoomScaleNormal="100" workbookViewId="0">
      <selection activeCell="S30" sqref="S30"/>
    </sheetView>
  </sheetViews>
  <sheetFormatPr defaultRowHeight="15" x14ac:dyDescent="0.25"/>
  <cols>
    <col min="1" max="16384" width="9.140625" style="14"/>
  </cols>
  <sheetData>
    <row r="7" spans="19:19" x14ac:dyDescent="0.25">
      <c r="S7" s="14" t="s">
        <v>245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8769F-F3E1-4323-A30D-CE7AE98F9FD4}">
  <dimension ref="A3:M29"/>
  <sheetViews>
    <sheetView topLeftCell="A2" zoomScaleNormal="100" workbookViewId="0">
      <selection activeCell="F39" sqref="F39"/>
    </sheetView>
  </sheetViews>
  <sheetFormatPr defaultRowHeight="15" x14ac:dyDescent="0.25"/>
  <cols>
    <col min="1" max="1" width="13.140625" bestFit="1" customWidth="1"/>
    <col min="2" max="2" width="16" bestFit="1" customWidth="1"/>
    <col min="3" max="3" width="17" bestFit="1" customWidth="1"/>
    <col min="4" max="4" width="5.85546875" customWidth="1"/>
    <col min="5" max="5" width="19.7109375" bestFit="1" customWidth="1"/>
    <col min="6" max="6" width="19.85546875" bestFit="1" customWidth="1"/>
    <col min="7" max="7" width="5" customWidth="1"/>
    <col min="8" max="8" width="14.5703125" bestFit="1" customWidth="1"/>
    <col min="9" max="9" width="17" bestFit="1" customWidth="1"/>
    <col min="10" max="10" width="15.42578125" bestFit="1" customWidth="1"/>
    <col min="11" max="12" width="10.7109375" bestFit="1" customWidth="1"/>
    <col min="13" max="13" width="11.85546875" bestFit="1" customWidth="1"/>
  </cols>
  <sheetData>
    <row r="3" spans="1:13" x14ac:dyDescent="0.25">
      <c r="B3" s="19" t="s">
        <v>241</v>
      </c>
      <c r="C3" s="20"/>
      <c r="E3" t="s">
        <v>242</v>
      </c>
      <c r="H3" s="19" t="s">
        <v>246</v>
      </c>
      <c r="I3" s="20"/>
    </row>
    <row r="4" spans="1:13" x14ac:dyDescent="0.25">
      <c r="B4" s="12" t="s">
        <v>5</v>
      </c>
      <c r="C4" t="s">
        <v>223</v>
      </c>
      <c r="E4" s="6">
        <v>2456.4229999999993</v>
      </c>
      <c r="H4" s="12" t="s">
        <v>221</v>
      </c>
      <c r="I4" t="s">
        <v>223</v>
      </c>
    </row>
    <row r="5" spans="1:13" x14ac:dyDescent="0.25">
      <c r="B5" s="13" t="s">
        <v>186</v>
      </c>
      <c r="C5" s="6">
        <v>35062.910000000003</v>
      </c>
      <c r="H5" s="13" t="s">
        <v>226</v>
      </c>
      <c r="I5" s="6">
        <v>99778.180000000022</v>
      </c>
    </row>
    <row r="6" spans="1:13" x14ac:dyDescent="0.25">
      <c r="B6" s="13" t="s">
        <v>185</v>
      </c>
      <c r="C6" s="6">
        <v>58690.05999999999</v>
      </c>
      <c r="E6" s="3" t="s">
        <v>228</v>
      </c>
      <c r="H6" s="13" t="s">
        <v>225</v>
      </c>
      <c r="I6" s="6">
        <v>63093.34</v>
      </c>
    </row>
    <row r="7" spans="1:13" x14ac:dyDescent="0.25">
      <c r="B7" s="13" t="s">
        <v>184</v>
      </c>
      <c r="C7" s="6">
        <v>73286.34</v>
      </c>
      <c r="E7" s="15">
        <v>237449.27599999993</v>
      </c>
      <c r="F7" s="16">
        <f>GETPIVOTDATA("NetSales",$E$6)</f>
        <v>237449.27599999993</v>
      </c>
      <c r="H7" s="13" t="s">
        <v>227</v>
      </c>
      <c r="I7" s="6">
        <v>59877.509999999995</v>
      </c>
    </row>
    <row r="8" spans="1:13" x14ac:dyDescent="0.25">
      <c r="B8" s="13" t="s">
        <v>183</v>
      </c>
      <c r="C8" s="6">
        <v>78602.989999999991</v>
      </c>
      <c r="H8" s="13" t="s">
        <v>224</v>
      </c>
      <c r="I8" s="6">
        <v>22893.269999999997</v>
      </c>
    </row>
    <row r="9" spans="1:13" x14ac:dyDescent="0.25">
      <c r="A9" s="17">
        <f>GETPIVOTDATA("TotalSales",$B$4)</f>
        <v>245642.3</v>
      </c>
      <c r="B9" s="13" t="s">
        <v>222</v>
      </c>
      <c r="C9" s="6">
        <v>245642.3</v>
      </c>
      <c r="E9" t="s">
        <v>238</v>
      </c>
      <c r="H9" s="13" t="s">
        <v>222</v>
      </c>
      <c r="I9" s="6">
        <v>245642.3</v>
      </c>
    </row>
    <row r="10" spans="1:13" x14ac:dyDescent="0.25">
      <c r="E10" s="7">
        <v>81.930239999999998</v>
      </c>
    </row>
    <row r="11" spans="1:13" x14ac:dyDescent="0.25">
      <c r="B11" s="19" t="s">
        <v>237</v>
      </c>
      <c r="C11" s="19"/>
    </row>
    <row r="12" spans="1:13" x14ac:dyDescent="0.25">
      <c r="B12" s="12" t="s">
        <v>4</v>
      </c>
      <c r="C12" t="s">
        <v>229</v>
      </c>
      <c r="E12" s="19" t="s">
        <v>244</v>
      </c>
      <c r="F12" s="19"/>
    </row>
    <row r="13" spans="1:13" x14ac:dyDescent="0.25">
      <c r="B13" s="13" t="s">
        <v>181</v>
      </c>
      <c r="C13" s="6">
        <v>403.88863636363641</v>
      </c>
      <c r="E13" s="12" t="s">
        <v>4</v>
      </c>
      <c r="F13" t="s">
        <v>243</v>
      </c>
      <c r="H13" s="19" t="s">
        <v>247</v>
      </c>
      <c r="I13" s="19"/>
      <c r="J13" s="19"/>
      <c r="K13" s="19"/>
      <c r="L13" s="19"/>
      <c r="M13" s="19"/>
    </row>
    <row r="14" spans="1:13" x14ac:dyDescent="0.25">
      <c r="B14" s="13" t="s">
        <v>182</v>
      </c>
      <c r="C14" s="6">
        <v>532.57678571428551</v>
      </c>
      <c r="E14" s="13" t="s">
        <v>181</v>
      </c>
      <c r="F14" s="18">
        <v>0.44</v>
      </c>
      <c r="H14" s="12" t="s">
        <v>223</v>
      </c>
      <c r="I14" s="12" t="s">
        <v>1</v>
      </c>
    </row>
    <row r="15" spans="1:13" x14ac:dyDescent="0.25">
      <c r="B15" s="13" t="s">
        <v>222</v>
      </c>
      <c r="C15" s="6">
        <v>475.95400000000018</v>
      </c>
      <c r="E15" s="13" t="s">
        <v>182</v>
      </c>
      <c r="F15" s="18">
        <v>0.56000000000000005</v>
      </c>
      <c r="H15" s="12" t="s">
        <v>232</v>
      </c>
      <c r="I15" t="s">
        <v>224</v>
      </c>
      <c r="J15" t="s">
        <v>225</v>
      </c>
      <c r="K15" t="s">
        <v>226</v>
      </c>
      <c r="L15" t="s">
        <v>227</v>
      </c>
      <c r="M15" t="s">
        <v>222</v>
      </c>
    </row>
    <row r="16" spans="1:13" x14ac:dyDescent="0.25">
      <c r="E16" s="13" t="s">
        <v>222</v>
      </c>
      <c r="F16" s="18">
        <v>1</v>
      </c>
      <c r="H16" s="13" t="s">
        <v>174</v>
      </c>
      <c r="I16" s="6">
        <v>10311.24</v>
      </c>
      <c r="J16" s="6">
        <v>13174.95</v>
      </c>
      <c r="K16" s="6">
        <v>13751.760000000002</v>
      </c>
      <c r="L16" s="6">
        <v>6395.7</v>
      </c>
      <c r="M16" s="6">
        <v>43633.65</v>
      </c>
    </row>
    <row r="17" spans="2:13" x14ac:dyDescent="0.25">
      <c r="H17" s="13" t="s">
        <v>173</v>
      </c>
      <c r="I17" s="6"/>
      <c r="J17" s="6">
        <v>6193.65</v>
      </c>
      <c r="K17" s="6">
        <v>27164.449999999997</v>
      </c>
      <c r="L17" s="6">
        <v>7448.74</v>
      </c>
      <c r="M17" s="6">
        <v>40806.839999999997</v>
      </c>
    </row>
    <row r="18" spans="2:13" x14ac:dyDescent="0.25">
      <c r="B18" t="s">
        <v>230</v>
      </c>
      <c r="E18" s="19" t="s">
        <v>239</v>
      </c>
      <c r="F18" s="19"/>
      <c r="H18" s="13" t="s">
        <v>175</v>
      </c>
      <c r="I18" s="6">
        <v>985.46</v>
      </c>
      <c r="J18" s="6">
        <v>7234.42</v>
      </c>
      <c r="K18" s="6">
        <v>20368.27</v>
      </c>
      <c r="L18" s="6">
        <v>4031.84</v>
      </c>
      <c r="M18" s="6">
        <v>32619.99</v>
      </c>
    </row>
    <row r="19" spans="2:13" x14ac:dyDescent="0.25">
      <c r="B19" s="21">
        <v>533</v>
      </c>
      <c r="E19" s="12" t="s">
        <v>231</v>
      </c>
      <c r="F19" t="s">
        <v>223</v>
      </c>
      <c r="H19" s="13" t="s">
        <v>172</v>
      </c>
      <c r="I19" s="6">
        <v>5381.88</v>
      </c>
      <c r="J19" s="6">
        <v>77.37</v>
      </c>
      <c r="K19" s="6">
        <v>18584.91</v>
      </c>
      <c r="L19" s="6">
        <v>7507.24</v>
      </c>
      <c r="M19" s="6">
        <v>31551.4</v>
      </c>
    </row>
    <row r="20" spans="2:13" x14ac:dyDescent="0.25">
      <c r="E20" s="13" t="s">
        <v>189</v>
      </c>
      <c r="F20" s="18">
        <v>0.2835022306825819</v>
      </c>
      <c r="H20" s="13" t="s">
        <v>178</v>
      </c>
      <c r="I20" s="6">
        <v>677.88</v>
      </c>
      <c r="J20" s="6">
        <v>9526.86</v>
      </c>
      <c r="K20" s="6">
        <v>2563.84</v>
      </c>
      <c r="L20" s="6">
        <v>11541.16</v>
      </c>
      <c r="M20" s="6">
        <v>24309.739999999998</v>
      </c>
    </row>
    <row r="21" spans="2:13" x14ac:dyDescent="0.25">
      <c r="E21" s="13" t="s">
        <v>187</v>
      </c>
      <c r="F21" s="18">
        <v>0.37666676301272217</v>
      </c>
      <c r="H21" s="13" t="s">
        <v>176</v>
      </c>
      <c r="I21" s="6">
        <v>374.35</v>
      </c>
      <c r="J21" s="6">
        <v>9502.57</v>
      </c>
      <c r="K21" s="6">
        <v>7303.3900000000012</v>
      </c>
      <c r="L21" s="6">
        <v>4822.3600000000006</v>
      </c>
      <c r="M21" s="6">
        <v>22002.670000000002</v>
      </c>
    </row>
    <row r="22" spans="2:13" x14ac:dyDescent="0.25">
      <c r="E22" s="13" t="s">
        <v>188</v>
      </c>
      <c r="F22" s="18">
        <v>0.33983100630469587</v>
      </c>
      <c r="H22" s="13" t="s">
        <v>179</v>
      </c>
      <c r="I22" s="6"/>
      <c r="J22" s="6">
        <v>3679.3600000000006</v>
      </c>
      <c r="K22" s="6">
        <v>4635.0499999999993</v>
      </c>
      <c r="L22" s="6">
        <v>8915.6200000000008</v>
      </c>
      <c r="M22" s="6">
        <v>17230.03</v>
      </c>
    </row>
    <row r="23" spans="2:13" x14ac:dyDescent="0.25">
      <c r="E23" s="13" t="s">
        <v>222</v>
      </c>
      <c r="F23" s="18">
        <v>1</v>
      </c>
      <c r="H23" s="13" t="s">
        <v>177</v>
      </c>
      <c r="I23" s="6">
        <v>5162.46</v>
      </c>
      <c r="J23" s="6">
        <v>5870.3499999999995</v>
      </c>
      <c r="K23" s="6">
        <v>1092.56</v>
      </c>
      <c r="L23" s="6">
        <v>4541.1900000000005</v>
      </c>
      <c r="M23" s="6">
        <v>16666.559999999998</v>
      </c>
    </row>
    <row r="24" spans="2:13" x14ac:dyDescent="0.25">
      <c r="H24" s="13" t="s">
        <v>171</v>
      </c>
      <c r="I24" s="6"/>
      <c r="J24" s="6">
        <v>2589.2600000000002</v>
      </c>
      <c r="K24" s="6">
        <v>4313.95</v>
      </c>
      <c r="L24" s="6">
        <v>3700.0499999999997</v>
      </c>
      <c r="M24" s="6">
        <v>10603.26</v>
      </c>
    </row>
    <row r="25" spans="2:13" x14ac:dyDescent="0.25">
      <c r="E25" s="19" t="s">
        <v>240</v>
      </c>
      <c r="F25" s="19"/>
      <c r="H25" s="13" t="s">
        <v>180</v>
      </c>
      <c r="I25" s="6"/>
      <c r="J25" s="6">
        <v>5244.55</v>
      </c>
      <c r="K25" s="6"/>
      <c r="L25" s="6">
        <v>973.61</v>
      </c>
      <c r="M25" s="6">
        <v>6218.16</v>
      </c>
    </row>
    <row r="26" spans="2:13" x14ac:dyDescent="0.25">
      <c r="E26" s="12" t="s">
        <v>236</v>
      </c>
      <c r="F26" t="s">
        <v>233</v>
      </c>
      <c r="H26" s="13" t="s">
        <v>222</v>
      </c>
      <c r="I26" s="6">
        <v>22893.269999999997</v>
      </c>
      <c r="J26" s="6">
        <v>63093.34</v>
      </c>
      <c r="K26" s="6">
        <v>99778.18</v>
      </c>
      <c r="L26" s="6">
        <v>59877.51</v>
      </c>
      <c r="M26" s="6">
        <v>245642.29999999996</v>
      </c>
    </row>
    <row r="27" spans="2:13" x14ac:dyDescent="0.25">
      <c r="E27" s="13" t="s">
        <v>234</v>
      </c>
      <c r="F27" s="18">
        <v>0.33</v>
      </c>
    </row>
    <row r="28" spans="2:13" x14ac:dyDescent="0.25">
      <c r="E28" s="13" t="s">
        <v>235</v>
      </c>
      <c r="F28" s="18">
        <v>0.67</v>
      </c>
    </row>
    <row r="29" spans="2:13" x14ac:dyDescent="0.25">
      <c r="E29" s="13" t="s">
        <v>222</v>
      </c>
      <c r="F29" s="18">
        <v>1</v>
      </c>
    </row>
  </sheetData>
  <mergeCells count="7">
    <mergeCell ref="H13:M13"/>
    <mergeCell ref="H3:I3"/>
    <mergeCell ref="B11:C11"/>
    <mergeCell ref="B3:C3"/>
    <mergeCell ref="E25:F25"/>
    <mergeCell ref="E18:F18"/>
    <mergeCell ref="E12:F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87754-9E59-480B-8D1F-B2263B4015BD}">
  <dimension ref="A1:U107"/>
  <sheetViews>
    <sheetView zoomScale="113" zoomScaleNormal="80" workbookViewId="0">
      <selection activeCell="A2" sqref="A2"/>
    </sheetView>
  </sheetViews>
  <sheetFormatPr defaultRowHeight="15" x14ac:dyDescent="0.25"/>
  <cols>
    <col min="1" max="1" width="15.140625" customWidth="1"/>
    <col min="2" max="2" width="15.140625" hidden="1" customWidth="1"/>
    <col min="3" max="3" width="18.28515625" bestFit="1" customWidth="1"/>
    <col min="4" max="4" width="19.5703125" bestFit="1" customWidth="1"/>
    <col min="5" max="5" width="19.5703125" customWidth="1"/>
    <col min="6" max="6" width="12.140625" bestFit="1" customWidth="1"/>
    <col min="7" max="7" width="11.28515625" bestFit="1" customWidth="1"/>
    <col min="8" max="8" width="9.28515625" customWidth="1"/>
    <col min="9" max="9" width="10.85546875" customWidth="1"/>
    <col min="10" max="10" width="11.42578125" customWidth="1"/>
    <col min="11" max="11" width="18.140625" customWidth="1"/>
    <col min="12" max="12" width="12.140625" customWidth="1"/>
    <col min="14" max="14" width="14.28515625" bestFit="1" customWidth="1"/>
    <col min="15" max="15" width="14.5703125" bestFit="1" customWidth="1"/>
    <col min="16" max="16" width="19.7109375" bestFit="1" customWidth="1"/>
    <col min="17" max="17" width="16.42578125" bestFit="1" customWidth="1"/>
    <col min="19" max="19" width="12.140625" bestFit="1" customWidth="1"/>
    <col min="20" max="20" width="17.140625" customWidth="1"/>
    <col min="21" max="21" width="14.28515625" bestFit="1" customWidth="1"/>
  </cols>
  <sheetData>
    <row r="1" spans="1:21" s="9" customFormat="1" x14ac:dyDescent="0.25">
      <c r="A1" s="8" t="s">
        <v>0</v>
      </c>
      <c r="B1" s="8" t="s">
        <v>221</v>
      </c>
      <c r="C1" s="8" t="s">
        <v>220</v>
      </c>
      <c r="D1" s="8" t="s">
        <v>212</v>
      </c>
      <c r="E1" s="8" t="s">
        <v>213</v>
      </c>
      <c r="F1" s="8" t="s">
        <v>3</v>
      </c>
      <c r="G1" s="8" t="s">
        <v>4</v>
      </c>
      <c r="H1" s="8" t="s">
        <v>5</v>
      </c>
      <c r="I1" s="8" t="s">
        <v>6</v>
      </c>
      <c r="J1" s="8" t="s">
        <v>7</v>
      </c>
      <c r="K1" s="8" t="s">
        <v>8</v>
      </c>
      <c r="L1" s="8" t="s">
        <v>9</v>
      </c>
      <c r="M1" s="8" t="s">
        <v>214</v>
      </c>
      <c r="N1" s="8" t="s">
        <v>215</v>
      </c>
      <c r="O1" s="8" t="s">
        <v>216</v>
      </c>
      <c r="P1" s="8" t="s">
        <v>218</v>
      </c>
      <c r="Q1" s="8" t="s">
        <v>219</v>
      </c>
      <c r="S1" s="9" t="s">
        <v>3</v>
      </c>
      <c r="T1" s="9" t="s">
        <v>217</v>
      </c>
      <c r="U1" s="9" t="s">
        <v>4</v>
      </c>
    </row>
    <row r="2" spans="1:21" x14ac:dyDescent="0.25">
      <c r="A2" t="s">
        <v>10</v>
      </c>
      <c r="B2" t="str">
        <f>TEXT(Table1[[#This Row],[ExactDate]],"mmm-yyyy")</f>
        <v>Jan-2025</v>
      </c>
      <c r="C2" s="5">
        <v>45658</v>
      </c>
      <c r="D2" t="s">
        <v>190</v>
      </c>
      <c r="E2" s="4" t="s">
        <v>191</v>
      </c>
      <c r="F2" t="s">
        <v>171</v>
      </c>
      <c r="G2" t="s">
        <v>182</v>
      </c>
      <c r="H2" t="s">
        <v>183</v>
      </c>
      <c r="I2">
        <v>5</v>
      </c>
      <c r="J2" s="6">
        <v>862.79</v>
      </c>
      <c r="K2" t="s">
        <v>187</v>
      </c>
      <c r="L2" s="6">
        <f>Table1[[#This Row],[Quantity]]*Table1[[#This Row],[UnitPrice]]</f>
        <v>4313.95</v>
      </c>
      <c r="M2" s="7">
        <f>IF(Table1[[#This Row],[Quantity]]&gt;5,5%*Table1[[#This Row],[TotalSales]],0)</f>
        <v>0</v>
      </c>
      <c r="N2" s="6">
        <f>Table1[[#This Row],[TotalSales]]-Table1[[#This Row],[Discount]]</f>
        <v>4313.95</v>
      </c>
      <c r="O2" s="10" t="str">
        <f>IF(Table1[[#This Row],[TotalSales]]&gt;3000,"High Value","Regular")</f>
        <v>High Value</v>
      </c>
      <c r="P2" s="11">
        <f>VLOOKUP(Table1[[#This Row],[Product]],Table2[],2)</f>
        <v>0.05</v>
      </c>
      <c r="Q2" s="6">
        <f>Table1[[#This Row],[TotalSales]]*Table1[[#This Row],[CommissionRate]]</f>
        <v>215.69749999999999</v>
      </c>
      <c r="S2" t="s">
        <v>173</v>
      </c>
      <c r="T2" s="11">
        <v>0.05</v>
      </c>
      <c r="U2" t="s">
        <v>182</v>
      </c>
    </row>
    <row r="3" spans="1:21" x14ac:dyDescent="0.25">
      <c r="A3" t="s">
        <v>11</v>
      </c>
      <c r="B3" t="str">
        <f>TEXT(Table1[[#This Row],[ExactDate]],"mmm-yyyy")</f>
        <v>Jan-2025</v>
      </c>
      <c r="C3" s="5">
        <v>45659</v>
      </c>
      <c r="D3" t="s">
        <v>192</v>
      </c>
      <c r="E3" s="4" t="s">
        <v>193</v>
      </c>
      <c r="F3" t="s">
        <v>172</v>
      </c>
      <c r="G3" t="s">
        <v>181</v>
      </c>
      <c r="H3" t="s">
        <v>184</v>
      </c>
      <c r="I3">
        <v>9</v>
      </c>
      <c r="J3" s="6">
        <v>724.57</v>
      </c>
      <c r="K3" t="s">
        <v>188</v>
      </c>
      <c r="L3" s="6">
        <f>Table1[[#This Row],[Quantity]]*Table1[[#This Row],[UnitPrice]]</f>
        <v>6521.13</v>
      </c>
      <c r="M3" s="7">
        <f>IF(Table1[[#This Row],[Quantity]]&gt;5,5%*Table1[[#This Row],[TotalSales]],0)</f>
        <v>326.05650000000003</v>
      </c>
      <c r="N3" s="6">
        <f>Table1[[#This Row],[TotalSales]]-Table1[[#This Row],[Discount]]</f>
        <v>6195.0735000000004</v>
      </c>
      <c r="O3" s="10" t="str">
        <f>IF(Table1[[#This Row],[TotalSales]]&gt;3000,"High Value","Regular")</f>
        <v>High Value</v>
      </c>
      <c r="P3" s="11">
        <f>VLOOKUP(Table1[[#This Row],[Product]],Table2[],2)</f>
        <v>0.03</v>
      </c>
      <c r="Q3" s="6">
        <f>Table1[[#This Row],[TotalSales]]*Table1[[#This Row],[CommissionRate]]</f>
        <v>195.63389999999998</v>
      </c>
      <c r="S3" t="s">
        <v>180</v>
      </c>
      <c r="T3" s="11">
        <v>0.02</v>
      </c>
      <c r="U3" t="s">
        <v>181</v>
      </c>
    </row>
    <row r="4" spans="1:21" x14ac:dyDescent="0.25">
      <c r="A4" t="s">
        <v>12</v>
      </c>
      <c r="B4" t="str">
        <f>TEXT(Table1[[#This Row],[ExactDate]],"mmm-yyyy")</f>
        <v>Jan-2025</v>
      </c>
      <c r="C4" s="5">
        <v>45660</v>
      </c>
      <c r="D4" t="s">
        <v>194</v>
      </c>
      <c r="E4" s="4" t="s">
        <v>195</v>
      </c>
      <c r="F4" t="s">
        <v>173</v>
      </c>
      <c r="G4" t="s">
        <v>182</v>
      </c>
      <c r="H4" t="s">
        <v>184</v>
      </c>
      <c r="I4">
        <v>9</v>
      </c>
      <c r="J4" s="6">
        <v>194.17</v>
      </c>
      <c r="K4" t="s">
        <v>189</v>
      </c>
      <c r="L4" s="6">
        <f>Table1[[#This Row],[Quantity]]*Table1[[#This Row],[UnitPrice]]</f>
        <v>1747.53</v>
      </c>
      <c r="M4" s="7">
        <f>IF(Table1[[#This Row],[Quantity]]&gt;5,5%*Table1[[#This Row],[TotalSales]],0)</f>
        <v>87.376500000000007</v>
      </c>
      <c r="N4" s="6">
        <f>Table1[[#This Row],[TotalSales]]-Table1[[#This Row],[Discount]]</f>
        <v>1660.1534999999999</v>
      </c>
      <c r="O4" s="10" t="str">
        <f>IF(Table1[[#This Row],[TotalSales]]&gt;3000,"High Value","Regular")</f>
        <v>Regular</v>
      </c>
      <c r="P4" s="11">
        <f>VLOOKUP(Table1[[#This Row],[Product]],Table2[],2)</f>
        <v>0.05</v>
      </c>
      <c r="Q4" s="6">
        <f>Table1[[#This Row],[TotalSales]]*Table1[[#This Row],[CommissionRate]]</f>
        <v>87.376500000000007</v>
      </c>
      <c r="S4" t="s">
        <v>178</v>
      </c>
      <c r="T4" s="11">
        <v>0.02</v>
      </c>
      <c r="U4" t="s">
        <v>181</v>
      </c>
    </row>
    <row r="5" spans="1:21" x14ac:dyDescent="0.25">
      <c r="A5" t="s">
        <v>13</v>
      </c>
      <c r="B5" t="str">
        <f>TEXT(Table1[[#This Row],[ExactDate]],"mmm-yyyy")</f>
        <v>Jan-2025</v>
      </c>
      <c r="C5" s="5">
        <v>45661</v>
      </c>
      <c r="D5" t="s">
        <v>196</v>
      </c>
      <c r="E5" s="4" t="s">
        <v>197</v>
      </c>
      <c r="F5" t="s">
        <v>174</v>
      </c>
      <c r="G5" t="s">
        <v>182</v>
      </c>
      <c r="H5" t="s">
        <v>183</v>
      </c>
      <c r="I5">
        <v>3</v>
      </c>
      <c r="J5" s="6">
        <v>627.59</v>
      </c>
      <c r="K5" t="s">
        <v>187</v>
      </c>
      <c r="L5" s="6">
        <f>Table1[[#This Row],[Quantity]]*Table1[[#This Row],[UnitPrice]]</f>
        <v>1882.77</v>
      </c>
      <c r="M5" s="7">
        <f>IF(Table1[[#This Row],[Quantity]]&gt;5,5%*Table1[[#This Row],[TotalSales]],0)</f>
        <v>0</v>
      </c>
      <c r="N5" s="6">
        <f>Table1[[#This Row],[TotalSales]]-Table1[[#This Row],[Discount]]</f>
        <v>1882.77</v>
      </c>
      <c r="O5" s="10" t="str">
        <f>IF(Table1[[#This Row],[TotalSales]]&gt;3000,"High Value","Regular")</f>
        <v>Regular</v>
      </c>
      <c r="P5" s="11">
        <f>VLOOKUP(Table1[[#This Row],[Product]],Table2[],2)</f>
        <v>0.04</v>
      </c>
      <c r="Q5" s="6">
        <f>Table1[[#This Row],[TotalSales]]*Table1[[#This Row],[CommissionRate]]</f>
        <v>75.3108</v>
      </c>
      <c r="S5" t="s">
        <v>172</v>
      </c>
      <c r="T5" s="11">
        <v>0.03</v>
      </c>
      <c r="U5" t="s">
        <v>181</v>
      </c>
    </row>
    <row r="6" spans="1:21" x14ac:dyDescent="0.25">
      <c r="A6" t="s">
        <v>14</v>
      </c>
      <c r="B6" t="str">
        <f>TEXT(Table1[[#This Row],[ExactDate]],"mmm-yyyy")</f>
        <v>Jan-2025</v>
      </c>
      <c r="C6" s="5">
        <v>45662</v>
      </c>
      <c r="D6" t="s">
        <v>196</v>
      </c>
      <c r="E6" s="4" t="s">
        <v>193</v>
      </c>
      <c r="F6" t="s">
        <v>175</v>
      </c>
      <c r="G6" t="s">
        <v>182</v>
      </c>
      <c r="H6" t="s">
        <v>183</v>
      </c>
      <c r="I6">
        <v>9</v>
      </c>
      <c r="J6" s="6">
        <v>801.96</v>
      </c>
      <c r="K6" t="s">
        <v>187</v>
      </c>
      <c r="L6" s="6">
        <f>Table1[[#This Row],[Quantity]]*Table1[[#This Row],[UnitPrice]]</f>
        <v>7217.64</v>
      </c>
      <c r="M6" s="7">
        <f>IF(Table1[[#This Row],[Quantity]]&gt;5,5%*Table1[[#This Row],[TotalSales]],0)</f>
        <v>360.88200000000006</v>
      </c>
      <c r="N6" s="6">
        <f>Table1[[#This Row],[TotalSales]]-Table1[[#This Row],[Discount]]</f>
        <v>6856.7579999999998</v>
      </c>
      <c r="O6" s="10" t="str">
        <f>IF(Table1[[#This Row],[TotalSales]]&gt;3000,"High Value","Regular")</f>
        <v>High Value</v>
      </c>
      <c r="P6" s="11">
        <f>VLOOKUP(Table1[[#This Row],[Product]],Table2[],2)</f>
        <v>0.04</v>
      </c>
      <c r="Q6" s="6">
        <f>Table1[[#This Row],[TotalSales]]*Table1[[#This Row],[CommissionRate]]</f>
        <v>288.7056</v>
      </c>
      <c r="S6" t="s">
        <v>171</v>
      </c>
      <c r="T6" s="11">
        <v>0.05</v>
      </c>
      <c r="U6" t="s">
        <v>182</v>
      </c>
    </row>
    <row r="7" spans="1:21" x14ac:dyDescent="0.25">
      <c r="A7" t="s">
        <v>15</v>
      </c>
      <c r="B7" t="str">
        <f>TEXT(Table1[[#This Row],[ExactDate]],"mmm-yyyy")</f>
        <v>Jan-2025</v>
      </c>
      <c r="C7" s="5">
        <v>45663</v>
      </c>
      <c r="D7" t="s">
        <v>198</v>
      </c>
      <c r="E7" s="4" t="s">
        <v>199</v>
      </c>
      <c r="F7" t="s">
        <v>173</v>
      </c>
      <c r="G7" t="s">
        <v>182</v>
      </c>
      <c r="H7" t="s">
        <v>185</v>
      </c>
      <c r="I7">
        <v>8</v>
      </c>
      <c r="J7" s="6">
        <v>509.95</v>
      </c>
      <c r="K7" t="s">
        <v>188</v>
      </c>
      <c r="L7" s="6">
        <f>Table1[[#This Row],[Quantity]]*Table1[[#This Row],[UnitPrice]]</f>
        <v>4079.6</v>
      </c>
      <c r="M7" s="7">
        <f>IF(Table1[[#This Row],[Quantity]]&gt;5,5%*Table1[[#This Row],[TotalSales]],0)</f>
        <v>203.98000000000002</v>
      </c>
      <c r="N7" s="6">
        <f>Table1[[#This Row],[TotalSales]]-Table1[[#This Row],[Discount]]</f>
        <v>3875.62</v>
      </c>
      <c r="O7" s="10" t="str">
        <f>IF(Table1[[#This Row],[TotalSales]]&gt;3000,"High Value","Regular")</f>
        <v>High Value</v>
      </c>
      <c r="P7" s="11">
        <f>VLOOKUP(Table1[[#This Row],[Product]],Table2[],2)</f>
        <v>0.05</v>
      </c>
      <c r="Q7" s="6">
        <f>Table1[[#This Row],[TotalSales]]*Table1[[#This Row],[CommissionRate]]</f>
        <v>203.98000000000002</v>
      </c>
      <c r="S7" t="s">
        <v>176</v>
      </c>
      <c r="T7" s="11">
        <v>0.05</v>
      </c>
      <c r="U7" t="s">
        <v>182</v>
      </c>
    </row>
    <row r="8" spans="1:21" x14ac:dyDescent="0.25">
      <c r="A8" t="s">
        <v>16</v>
      </c>
      <c r="B8" t="str">
        <f>TEXT(Table1[[#This Row],[ExactDate]],"mmm-yyyy")</f>
        <v>Jan-2025</v>
      </c>
      <c r="C8" s="5">
        <v>45664</v>
      </c>
      <c r="D8" t="s">
        <v>200</v>
      </c>
      <c r="E8" s="4" t="s">
        <v>201</v>
      </c>
      <c r="F8" t="s">
        <v>175</v>
      </c>
      <c r="G8" t="s">
        <v>182</v>
      </c>
      <c r="H8" t="s">
        <v>183</v>
      </c>
      <c r="I8">
        <v>8</v>
      </c>
      <c r="J8" s="6">
        <v>31.78</v>
      </c>
      <c r="K8" t="s">
        <v>187</v>
      </c>
      <c r="L8" s="6">
        <f>Table1[[#This Row],[Quantity]]*Table1[[#This Row],[UnitPrice]]</f>
        <v>254.24</v>
      </c>
      <c r="M8" s="7">
        <f>IF(Table1[[#This Row],[Quantity]]&gt;5,5%*Table1[[#This Row],[TotalSales]],0)</f>
        <v>12.712000000000002</v>
      </c>
      <c r="N8" s="6">
        <f>Table1[[#This Row],[TotalSales]]-Table1[[#This Row],[Discount]]</f>
        <v>241.52800000000002</v>
      </c>
      <c r="O8" s="10" t="str">
        <f>IF(Table1[[#This Row],[TotalSales]]&gt;3000,"High Value","Regular")</f>
        <v>Regular</v>
      </c>
      <c r="P8" s="11">
        <f>VLOOKUP(Table1[[#This Row],[Product]],Table2[],2)</f>
        <v>0.04</v>
      </c>
      <c r="Q8" s="6">
        <f>Table1[[#This Row],[TotalSales]]*Table1[[#This Row],[CommissionRate]]</f>
        <v>10.169600000000001</v>
      </c>
      <c r="S8" t="s">
        <v>177</v>
      </c>
      <c r="T8" s="11">
        <v>0.02</v>
      </c>
      <c r="U8" t="s">
        <v>181</v>
      </c>
    </row>
    <row r="9" spans="1:21" x14ac:dyDescent="0.25">
      <c r="A9" t="s">
        <v>17</v>
      </c>
      <c r="B9" t="str">
        <f>TEXT(Table1[[#This Row],[ExactDate]],"mmm-yyyy")</f>
        <v>Jan-2025</v>
      </c>
      <c r="C9" s="5">
        <v>45665</v>
      </c>
      <c r="D9" t="s">
        <v>196</v>
      </c>
      <c r="E9" s="4" t="s">
        <v>202</v>
      </c>
      <c r="F9" t="s">
        <v>175</v>
      </c>
      <c r="G9" t="s">
        <v>182</v>
      </c>
      <c r="H9" t="s">
        <v>183</v>
      </c>
      <c r="I9">
        <v>7</v>
      </c>
      <c r="J9" s="6">
        <v>841.31</v>
      </c>
      <c r="K9" t="s">
        <v>187</v>
      </c>
      <c r="L9" s="6">
        <f>Table1[[#This Row],[Quantity]]*Table1[[#This Row],[UnitPrice]]</f>
        <v>5889.17</v>
      </c>
      <c r="M9" s="7">
        <f>IF(Table1[[#This Row],[Quantity]]&gt;5,5%*Table1[[#This Row],[TotalSales]],0)</f>
        <v>294.45850000000002</v>
      </c>
      <c r="N9" s="6">
        <f>Table1[[#This Row],[TotalSales]]-Table1[[#This Row],[Discount]]</f>
        <v>5594.7115000000003</v>
      </c>
      <c r="O9" s="10" t="str">
        <f>IF(Table1[[#This Row],[TotalSales]]&gt;3000,"High Value","Regular")</f>
        <v>High Value</v>
      </c>
      <c r="P9" s="11">
        <f>VLOOKUP(Table1[[#This Row],[Product]],Table2[],2)</f>
        <v>0.04</v>
      </c>
      <c r="Q9" s="6">
        <f>Table1[[#This Row],[TotalSales]]*Table1[[#This Row],[CommissionRate]]</f>
        <v>235.5668</v>
      </c>
      <c r="S9" t="s">
        <v>175</v>
      </c>
      <c r="T9" s="11">
        <v>0.04</v>
      </c>
      <c r="U9" t="s">
        <v>182</v>
      </c>
    </row>
    <row r="10" spans="1:21" x14ac:dyDescent="0.25">
      <c r="A10" t="s">
        <v>18</v>
      </c>
      <c r="B10" t="str">
        <f>TEXT(Table1[[#This Row],[ExactDate]],"mmm-yyyy")</f>
        <v>Jan-2025</v>
      </c>
      <c r="C10" s="5">
        <v>45666</v>
      </c>
      <c r="D10" t="s">
        <v>200</v>
      </c>
      <c r="E10" s="4" t="s">
        <v>201</v>
      </c>
      <c r="F10" t="s">
        <v>176</v>
      </c>
      <c r="G10" t="s">
        <v>182</v>
      </c>
      <c r="H10" t="s">
        <v>186</v>
      </c>
      <c r="I10">
        <v>9</v>
      </c>
      <c r="J10" s="6">
        <v>583.19000000000005</v>
      </c>
      <c r="K10" t="s">
        <v>187</v>
      </c>
      <c r="L10" s="6">
        <f>Table1[[#This Row],[Quantity]]*Table1[[#This Row],[UnitPrice]]</f>
        <v>5248.7100000000009</v>
      </c>
      <c r="M10" s="7">
        <f>IF(Table1[[#This Row],[Quantity]]&gt;5,5%*Table1[[#This Row],[TotalSales]],0)</f>
        <v>262.43550000000005</v>
      </c>
      <c r="N10" s="6">
        <f>Table1[[#This Row],[TotalSales]]-Table1[[#This Row],[Discount]]</f>
        <v>4986.2745000000014</v>
      </c>
      <c r="O10" s="10" t="str">
        <f>IF(Table1[[#This Row],[TotalSales]]&gt;3000,"High Value","Regular")</f>
        <v>High Value</v>
      </c>
      <c r="P10" s="11">
        <f>VLOOKUP(Table1[[#This Row],[Product]],Table2[],2)</f>
        <v>0.05</v>
      </c>
      <c r="Q10" s="6">
        <f>Table1[[#This Row],[TotalSales]]*Table1[[#This Row],[CommissionRate]]</f>
        <v>262.43550000000005</v>
      </c>
      <c r="S10" t="s">
        <v>179</v>
      </c>
      <c r="T10" s="11">
        <v>0.03</v>
      </c>
      <c r="U10" t="s">
        <v>181</v>
      </c>
    </row>
    <row r="11" spans="1:21" x14ac:dyDescent="0.25">
      <c r="A11" t="s">
        <v>19</v>
      </c>
      <c r="B11" t="str">
        <f>TEXT(Table1[[#This Row],[ExactDate]],"mmm-yyyy")</f>
        <v>Jan-2025</v>
      </c>
      <c r="C11" s="5">
        <v>45667</v>
      </c>
      <c r="D11" t="s">
        <v>190</v>
      </c>
      <c r="E11" s="4" t="s">
        <v>203</v>
      </c>
      <c r="F11" t="s">
        <v>177</v>
      </c>
      <c r="G11" t="s">
        <v>181</v>
      </c>
      <c r="H11" t="s">
        <v>184</v>
      </c>
      <c r="I11">
        <v>7</v>
      </c>
      <c r="J11" s="6">
        <v>27.3</v>
      </c>
      <c r="K11" t="s">
        <v>188</v>
      </c>
      <c r="L11" s="6">
        <f>Table1[[#This Row],[Quantity]]*Table1[[#This Row],[UnitPrice]]</f>
        <v>191.1</v>
      </c>
      <c r="M11" s="7">
        <f>IF(Table1[[#This Row],[Quantity]]&gt;5,5%*Table1[[#This Row],[TotalSales]],0)</f>
        <v>9.5549999999999997</v>
      </c>
      <c r="N11" s="6">
        <f>Table1[[#This Row],[TotalSales]]-Table1[[#This Row],[Discount]]</f>
        <v>181.54499999999999</v>
      </c>
      <c r="O11" s="10" t="str">
        <f>IF(Table1[[#This Row],[TotalSales]]&gt;3000,"High Value","Regular")</f>
        <v>Regular</v>
      </c>
      <c r="P11" s="11">
        <f>VLOOKUP(Table1[[#This Row],[Product]],Table2[],2)</f>
        <v>0.02</v>
      </c>
      <c r="Q11" s="6">
        <f>Table1[[#This Row],[TotalSales]]*Table1[[#This Row],[CommissionRate]]</f>
        <v>3.8220000000000001</v>
      </c>
      <c r="S11" t="s">
        <v>174</v>
      </c>
      <c r="T11" s="11">
        <v>0.04</v>
      </c>
      <c r="U11" t="s">
        <v>182</v>
      </c>
    </row>
    <row r="12" spans="1:21" x14ac:dyDescent="0.25">
      <c r="A12" t="s">
        <v>20</v>
      </c>
      <c r="B12" t="str">
        <f>TEXT(Table1[[#This Row],[ExactDate]],"mmm-yyyy")</f>
        <v>Jan-2025</v>
      </c>
      <c r="C12" s="5">
        <v>45668</v>
      </c>
      <c r="D12" t="s">
        <v>200</v>
      </c>
      <c r="E12" s="4" t="s">
        <v>201</v>
      </c>
      <c r="F12" t="s">
        <v>173</v>
      </c>
      <c r="G12" t="s">
        <v>182</v>
      </c>
      <c r="H12" t="s">
        <v>183</v>
      </c>
      <c r="I12">
        <v>4</v>
      </c>
      <c r="J12" s="6">
        <v>838.56</v>
      </c>
      <c r="K12" t="s">
        <v>189</v>
      </c>
      <c r="L12" s="6">
        <f>Table1[[#This Row],[Quantity]]*Table1[[#This Row],[UnitPrice]]</f>
        <v>3354.24</v>
      </c>
      <c r="M12" s="7">
        <f>IF(Table1[[#This Row],[Quantity]]&gt;5,5%*Table1[[#This Row],[TotalSales]],0)</f>
        <v>0</v>
      </c>
      <c r="N12" s="6">
        <f>Table1[[#This Row],[TotalSales]]-Table1[[#This Row],[Discount]]</f>
        <v>3354.24</v>
      </c>
      <c r="O12" s="10" t="str">
        <f>IF(Table1[[#This Row],[TotalSales]]&gt;3000,"High Value","Regular")</f>
        <v>High Value</v>
      </c>
      <c r="P12" s="11">
        <f>VLOOKUP(Table1[[#This Row],[Product]],Table2[],2)</f>
        <v>0.05</v>
      </c>
      <c r="Q12" s="6">
        <f>Table1[[#This Row],[TotalSales]]*Table1[[#This Row],[CommissionRate]]</f>
        <v>167.71199999999999</v>
      </c>
    </row>
    <row r="13" spans="1:21" x14ac:dyDescent="0.25">
      <c r="A13" t="s">
        <v>21</v>
      </c>
      <c r="B13" t="str">
        <f>TEXT(Table1[[#This Row],[ExactDate]],"mmm-yyyy")</f>
        <v>Jan-2025</v>
      </c>
      <c r="C13" s="5">
        <v>45669</v>
      </c>
      <c r="D13" t="s">
        <v>196</v>
      </c>
      <c r="E13" s="4" t="s">
        <v>203</v>
      </c>
      <c r="F13" t="s">
        <v>172</v>
      </c>
      <c r="G13" t="s">
        <v>181</v>
      </c>
      <c r="H13" t="s">
        <v>186</v>
      </c>
      <c r="I13">
        <v>3</v>
      </c>
      <c r="J13" s="6">
        <v>926.66</v>
      </c>
      <c r="K13" t="s">
        <v>187</v>
      </c>
      <c r="L13" s="6">
        <f>Table1[[#This Row],[Quantity]]*Table1[[#This Row],[UnitPrice]]</f>
        <v>2779.98</v>
      </c>
      <c r="M13" s="7">
        <f>IF(Table1[[#This Row],[Quantity]]&gt;5,5%*Table1[[#This Row],[TotalSales]],0)</f>
        <v>0</v>
      </c>
      <c r="N13" s="6">
        <f>Table1[[#This Row],[TotalSales]]-Table1[[#This Row],[Discount]]</f>
        <v>2779.98</v>
      </c>
      <c r="O13" s="10" t="str">
        <f>IF(Table1[[#This Row],[TotalSales]]&gt;3000,"High Value","Regular")</f>
        <v>Regular</v>
      </c>
      <c r="P13" s="11">
        <f>VLOOKUP(Table1[[#This Row],[Product]],Table2[],2)</f>
        <v>0.03</v>
      </c>
      <c r="Q13" s="6">
        <f>Table1[[#This Row],[TotalSales]]*Table1[[#This Row],[CommissionRate]]</f>
        <v>83.3994</v>
      </c>
    </row>
    <row r="14" spans="1:21" x14ac:dyDescent="0.25">
      <c r="A14" t="s">
        <v>22</v>
      </c>
      <c r="B14" t="str">
        <f>TEXT(Table1[[#This Row],[ExactDate]],"mmm-yyyy")</f>
        <v>Jan-2025</v>
      </c>
      <c r="C14" s="5">
        <v>45670</v>
      </c>
      <c r="D14" t="s">
        <v>190</v>
      </c>
      <c r="E14" s="4" t="s">
        <v>204</v>
      </c>
      <c r="F14" t="s">
        <v>178</v>
      </c>
      <c r="G14" t="s">
        <v>181</v>
      </c>
      <c r="H14" t="s">
        <v>186</v>
      </c>
      <c r="I14">
        <v>4</v>
      </c>
      <c r="J14" s="6">
        <v>640.96</v>
      </c>
      <c r="K14" t="s">
        <v>189</v>
      </c>
      <c r="L14" s="6">
        <f>Table1[[#This Row],[Quantity]]*Table1[[#This Row],[UnitPrice]]</f>
        <v>2563.84</v>
      </c>
      <c r="M14" s="7">
        <f>IF(Table1[[#This Row],[Quantity]]&gt;5,5%*Table1[[#This Row],[TotalSales]],0)</f>
        <v>0</v>
      </c>
      <c r="N14" s="6">
        <f>Table1[[#This Row],[TotalSales]]-Table1[[#This Row],[Discount]]</f>
        <v>2563.84</v>
      </c>
      <c r="O14" s="10" t="str">
        <f>IF(Table1[[#This Row],[TotalSales]]&gt;3000,"High Value","Regular")</f>
        <v>Regular</v>
      </c>
      <c r="P14" s="11">
        <f>VLOOKUP(Table1[[#This Row],[Product]],Table2[],2)</f>
        <v>0.02</v>
      </c>
      <c r="Q14" s="6">
        <f>Table1[[#This Row],[TotalSales]]*Table1[[#This Row],[CommissionRate]]</f>
        <v>51.276800000000001</v>
      </c>
    </row>
    <row r="15" spans="1:21" x14ac:dyDescent="0.25">
      <c r="A15" t="s">
        <v>23</v>
      </c>
      <c r="B15" t="str">
        <f>TEXT(Table1[[#This Row],[ExactDate]],"mmm-yyyy")</f>
        <v>Jan-2025</v>
      </c>
      <c r="C15" s="5">
        <v>45671</v>
      </c>
      <c r="D15" t="s">
        <v>194</v>
      </c>
      <c r="E15" s="4" t="s">
        <v>191</v>
      </c>
      <c r="F15" t="s">
        <v>172</v>
      </c>
      <c r="G15" t="s">
        <v>181</v>
      </c>
      <c r="H15" t="s">
        <v>183</v>
      </c>
      <c r="I15">
        <v>10</v>
      </c>
      <c r="J15" s="6">
        <v>928.38</v>
      </c>
      <c r="K15" t="s">
        <v>188</v>
      </c>
      <c r="L15" s="6">
        <f>Table1[[#This Row],[Quantity]]*Table1[[#This Row],[UnitPrice]]</f>
        <v>9283.7999999999993</v>
      </c>
      <c r="M15" s="7">
        <f>IF(Table1[[#This Row],[Quantity]]&gt;5,5%*Table1[[#This Row],[TotalSales]],0)</f>
        <v>464.19</v>
      </c>
      <c r="N15" s="6">
        <f>Table1[[#This Row],[TotalSales]]-Table1[[#This Row],[Discount]]</f>
        <v>8819.6099999999988</v>
      </c>
      <c r="O15" s="10" t="str">
        <f>IF(Table1[[#This Row],[TotalSales]]&gt;3000,"High Value","Regular")</f>
        <v>High Value</v>
      </c>
      <c r="P15" s="11">
        <f>VLOOKUP(Table1[[#This Row],[Product]],Table2[],2)</f>
        <v>0.03</v>
      </c>
      <c r="Q15" s="6">
        <f>Table1[[#This Row],[TotalSales]]*Table1[[#This Row],[CommissionRate]]</f>
        <v>278.51399999999995</v>
      </c>
    </row>
    <row r="16" spans="1:21" x14ac:dyDescent="0.25">
      <c r="A16" t="s">
        <v>24</v>
      </c>
      <c r="B16" t="str">
        <f>TEXT(Table1[[#This Row],[ExactDate]],"mmm-yyyy")</f>
        <v>Jan-2025</v>
      </c>
      <c r="C16" s="5">
        <v>45672</v>
      </c>
      <c r="D16" t="s">
        <v>196</v>
      </c>
      <c r="E16" s="4" t="s">
        <v>205</v>
      </c>
      <c r="F16" t="s">
        <v>174</v>
      </c>
      <c r="G16" t="s">
        <v>182</v>
      </c>
      <c r="H16" t="s">
        <v>184</v>
      </c>
      <c r="I16">
        <v>7</v>
      </c>
      <c r="J16" s="6">
        <v>541.32000000000005</v>
      </c>
      <c r="K16" t="s">
        <v>189</v>
      </c>
      <c r="L16" s="6">
        <f>Table1[[#This Row],[Quantity]]*Table1[[#This Row],[UnitPrice]]</f>
        <v>3789.2400000000002</v>
      </c>
      <c r="M16" s="7">
        <f>IF(Table1[[#This Row],[Quantity]]&gt;5,5%*Table1[[#This Row],[TotalSales]],0)</f>
        <v>189.46200000000002</v>
      </c>
      <c r="N16" s="6">
        <f>Table1[[#This Row],[TotalSales]]-Table1[[#This Row],[Discount]]</f>
        <v>3599.7780000000002</v>
      </c>
      <c r="O16" s="10" t="str">
        <f>IF(Table1[[#This Row],[TotalSales]]&gt;3000,"High Value","Regular")</f>
        <v>High Value</v>
      </c>
      <c r="P16" s="11">
        <f>VLOOKUP(Table1[[#This Row],[Product]],Table2[],2)</f>
        <v>0.04</v>
      </c>
      <c r="Q16" s="6">
        <f>Table1[[#This Row],[TotalSales]]*Table1[[#This Row],[CommissionRate]]</f>
        <v>151.56960000000001</v>
      </c>
    </row>
    <row r="17" spans="1:17" x14ac:dyDescent="0.25">
      <c r="A17" t="s">
        <v>25</v>
      </c>
      <c r="B17" t="str">
        <f>TEXT(Table1[[#This Row],[ExactDate]],"mmm-yyyy")</f>
        <v>Jan-2025</v>
      </c>
      <c r="C17" s="5">
        <v>45673</v>
      </c>
      <c r="D17" t="s">
        <v>194</v>
      </c>
      <c r="E17" s="4" t="s">
        <v>193</v>
      </c>
      <c r="F17" t="s">
        <v>175</v>
      </c>
      <c r="G17" t="s">
        <v>182</v>
      </c>
      <c r="H17" t="s">
        <v>184</v>
      </c>
      <c r="I17">
        <v>6</v>
      </c>
      <c r="J17" s="6">
        <v>727.07</v>
      </c>
      <c r="K17" t="s">
        <v>187</v>
      </c>
      <c r="L17" s="6">
        <f>Table1[[#This Row],[Quantity]]*Table1[[#This Row],[UnitPrice]]</f>
        <v>4362.42</v>
      </c>
      <c r="M17" s="7">
        <f>IF(Table1[[#This Row],[Quantity]]&gt;5,5%*Table1[[#This Row],[TotalSales]],0)</f>
        <v>218.12100000000001</v>
      </c>
      <c r="N17" s="6">
        <f>Table1[[#This Row],[TotalSales]]-Table1[[#This Row],[Discount]]</f>
        <v>4144.299</v>
      </c>
      <c r="O17" s="10" t="str">
        <f>IF(Table1[[#This Row],[TotalSales]]&gt;3000,"High Value","Regular")</f>
        <v>High Value</v>
      </c>
      <c r="P17" s="11">
        <f>VLOOKUP(Table1[[#This Row],[Product]],Table2[],2)</f>
        <v>0.04</v>
      </c>
      <c r="Q17" s="6">
        <f>Table1[[#This Row],[TotalSales]]*Table1[[#This Row],[CommissionRate]]</f>
        <v>174.49680000000001</v>
      </c>
    </row>
    <row r="18" spans="1:17" x14ac:dyDescent="0.25">
      <c r="A18" t="s">
        <v>26</v>
      </c>
      <c r="B18" t="str">
        <f>TEXT(Table1[[#This Row],[ExactDate]],"mmm-yyyy")</f>
        <v>Jan-2025</v>
      </c>
      <c r="C18" s="5">
        <v>45674</v>
      </c>
      <c r="D18" t="s">
        <v>194</v>
      </c>
      <c r="E18" s="4" t="s">
        <v>206</v>
      </c>
      <c r="F18" t="s">
        <v>176</v>
      </c>
      <c r="G18" t="s">
        <v>182</v>
      </c>
      <c r="H18" t="s">
        <v>183</v>
      </c>
      <c r="I18">
        <v>2</v>
      </c>
      <c r="J18" s="6">
        <v>653.79</v>
      </c>
      <c r="K18" t="s">
        <v>187</v>
      </c>
      <c r="L18" s="6">
        <f>Table1[[#This Row],[Quantity]]*Table1[[#This Row],[UnitPrice]]</f>
        <v>1307.58</v>
      </c>
      <c r="M18" s="7">
        <f>IF(Table1[[#This Row],[Quantity]]&gt;5,5%*Table1[[#This Row],[TotalSales]],0)</f>
        <v>0</v>
      </c>
      <c r="N18" s="6">
        <f>Table1[[#This Row],[TotalSales]]-Table1[[#This Row],[Discount]]</f>
        <v>1307.58</v>
      </c>
      <c r="O18" s="10" t="str">
        <f>IF(Table1[[#This Row],[TotalSales]]&gt;3000,"High Value","Regular")</f>
        <v>Regular</v>
      </c>
      <c r="P18" s="11">
        <f>VLOOKUP(Table1[[#This Row],[Product]],Table2[],2)</f>
        <v>0.05</v>
      </c>
      <c r="Q18" s="6">
        <f>Table1[[#This Row],[TotalSales]]*Table1[[#This Row],[CommissionRate]]</f>
        <v>65.379000000000005</v>
      </c>
    </row>
    <row r="19" spans="1:17" x14ac:dyDescent="0.25">
      <c r="A19" t="s">
        <v>27</v>
      </c>
      <c r="B19" t="str">
        <f>TEXT(Table1[[#This Row],[ExactDate]],"mmm-yyyy")</f>
        <v>Jan-2025</v>
      </c>
      <c r="C19" s="5">
        <v>45675</v>
      </c>
      <c r="D19" t="s">
        <v>190</v>
      </c>
      <c r="E19" s="4" t="s">
        <v>204</v>
      </c>
      <c r="F19" t="s">
        <v>173</v>
      </c>
      <c r="G19" t="s">
        <v>182</v>
      </c>
      <c r="H19" t="s">
        <v>185</v>
      </c>
      <c r="I19">
        <v>2</v>
      </c>
      <c r="J19" s="6">
        <v>975.61</v>
      </c>
      <c r="K19" t="s">
        <v>187</v>
      </c>
      <c r="L19" s="6">
        <f>Table1[[#This Row],[Quantity]]*Table1[[#This Row],[UnitPrice]]</f>
        <v>1951.22</v>
      </c>
      <c r="M19" s="7">
        <f>IF(Table1[[#This Row],[Quantity]]&gt;5,5%*Table1[[#This Row],[TotalSales]],0)</f>
        <v>0</v>
      </c>
      <c r="N19" s="6">
        <f>Table1[[#This Row],[TotalSales]]-Table1[[#This Row],[Discount]]</f>
        <v>1951.22</v>
      </c>
      <c r="O19" s="10" t="str">
        <f>IF(Table1[[#This Row],[TotalSales]]&gt;3000,"High Value","Regular")</f>
        <v>Regular</v>
      </c>
      <c r="P19" s="11">
        <f>VLOOKUP(Table1[[#This Row],[Product]],Table2[],2)</f>
        <v>0.05</v>
      </c>
      <c r="Q19" s="6">
        <f>Table1[[#This Row],[TotalSales]]*Table1[[#This Row],[CommissionRate]]</f>
        <v>97.561000000000007</v>
      </c>
    </row>
    <row r="20" spans="1:17" x14ac:dyDescent="0.25">
      <c r="A20" t="s">
        <v>28</v>
      </c>
      <c r="B20" t="str">
        <f>TEXT(Table1[[#This Row],[ExactDate]],"mmm-yyyy")</f>
        <v>Jan-2025</v>
      </c>
      <c r="C20" s="5">
        <v>45676</v>
      </c>
      <c r="D20" t="s">
        <v>196</v>
      </c>
      <c r="E20" s="4" t="s">
        <v>195</v>
      </c>
      <c r="F20" t="s">
        <v>173</v>
      </c>
      <c r="G20" t="s">
        <v>182</v>
      </c>
      <c r="H20" t="s">
        <v>184</v>
      </c>
      <c r="I20">
        <v>5</v>
      </c>
      <c r="J20" s="6">
        <v>863.74</v>
      </c>
      <c r="K20" t="s">
        <v>189</v>
      </c>
      <c r="L20" s="6">
        <f>Table1[[#This Row],[Quantity]]*Table1[[#This Row],[UnitPrice]]</f>
        <v>4318.7</v>
      </c>
      <c r="M20" s="7">
        <f>IF(Table1[[#This Row],[Quantity]]&gt;5,5%*Table1[[#This Row],[TotalSales]],0)</f>
        <v>0</v>
      </c>
      <c r="N20" s="6">
        <f>Table1[[#This Row],[TotalSales]]-Table1[[#This Row],[Discount]]</f>
        <v>4318.7</v>
      </c>
      <c r="O20" s="10" t="str">
        <f>IF(Table1[[#This Row],[TotalSales]]&gt;3000,"High Value","Regular")</f>
        <v>High Value</v>
      </c>
      <c r="P20" s="11">
        <f>VLOOKUP(Table1[[#This Row],[Product]],Table2[],2)</f>
        <v>0.05</v>
      </c>
      <c r="Q20" s="6">
        <f>Table1[[#This Row],[TotalSales]]*Table1[[#This Row],[CommissionRate]]</f>
        <v>215.935</v>
      </c>
    </row>
    <row r="21" spans="1:17" x14ac:dyDescent="0.25">
      <c r="A21" t="s">
        <v>29</v>
      </c>
      <c r="B21" t="str">
        <f>TEXT(Table1[[#This Row],[ExactDate]],"mmm-yyyy")</f>
        <v>Jan-2025</v>
      </c>
      <c r="C21" s="5">
        <v>45677</v>
      </c>
      <c r="D21" t="s">
        <v>198</v>
      </c>
      <c r="E21" s="4" t="s">
        <v>202</v>
      </c>
      <c r="F21" t="s">
        <v>179</v>
      </c>
      <c r="G21" t="s">
        <v>181</v>
      </c>
      <c r="H21" t="s">
        <v>185</v>
      </c>
      <c r="I21">
        <v>4</v>
      </c>
      <c r="J21" s="6">
        <v>246.59</v>
      </c>
      <c r="K21" t="s">
        <v>188</v>
      </c>
      <c r="L21" s="6">
        <f>Table1[[#This Row],[Quantity]]*Table1[[#This Row],[UnitPrice]]</f>
        <v>986.36</v>
      </c>
      <c r="M21" s="7">
        <f>IF(Table1[[#This Row],[Quantity]]&gt;5,5%*Table1[[#This Row],[TotalSales]],0)</f>
        <v>0</v>
      </c>
      <c r="N21" s="6">
        <f>Table1[[#This Row],[TotalSales]]-Table1[[#This Row],[Discount]]</f>
        <v>986.36</v>
      </c>
      <c r="O21" s="10" t="str">
        <f>IF(Table1[[#This Row],[TotalSales]]&gt;3000,"High Value","Regular")</f>
        <v>Regular</v>
      </c>
      <c r="P21" s="11">
        <f>VLOOKUP(Table1[[#This Row],[Product]],Table2[],2)</f>
        <v>0.03</v>
      </c>
      <c r="Q21" s="6">
        <f>Table1[[#This Row],[TotalSales]]*Table1[[#This Row],[CommissionRate]]</f>
        <v>29.590799999999998</v>
      </c>
    </row>
    <row r="22" spans="1:17" x14ac:dyDescent="0.25">
      <c r="A22" t="s">
        <v>30</v>
      </c>
      <c r="B22" t="str">
        <f>TEXT(Table1[[#This Row],[ExactDate]],"mmm-yyyy")</f>
        <v>Jan-2025</v>
      </c>
      <c r="C22" s="5">
        <v>45678</v>
      </c>
      <c r="D22" t="s">
        <v>190</v>
      </c>
      <c r="E22" s="4" t="s">
        <v>206</v>
      </c>
      <c r="F22" t="s">
        <v>176</v>
      </c>
      <c r="G22" t="s">
        <v>182</v>
      </c>
      <c r="H22" t="s">
        <v>185</v>
      </c>
      <c r="I22">
        <v>5</v>
      </c>
      <c r="J22" s="6">
        <v>149.41999999999999</v>
      </c>
      <c r="K22" t="s">
        <v>188</v>
      </c>
      <c r="L22" s="6">
        <f>Table1[[#This Row],[Quantity]]*Table1[[#This Row],[UnitPrice]]</f>
        <v>747.09999999999991</v>
      </c>
      <c r="M22" s="7">
        <f>IF(Table1[[#This Row],[Quantity]]&gt;5,5%*Table1[[#This Row],[TotalSales]],0)</f>
        <v>0</v>
      </c>
      <c r="N22" s="6">
        <f>Table1[[#This Row],[TotalSales]]-Table1[[#This Row],[Discount]]</f>
        <v>747.09999999999991</v>
      </c>
      <c r="O22" s="10" t="str">
        <f>IF(Table1[[#This Row],[TotalSales]]&gt;3000,"High Value","Regular")</f>
        <v>Regular</v>
      </c>
      <c r="P22" s="11">
        <f>VLOOKUP(Table1[[#This Row],[Product]],Table2[],2)</f>
        <v>0.05</v>
      </c>
      <c r="Q22" s="6">
        <f>Table1[[#This Row],[TotalSales]]*Table1[[#This Row],[CommissionRate]]</f>
        <v>37.354999999999997</v>
      </c>
    </row>
    <row r="23" spans="1:17" x14ac:dyDescent="0.25">
      <c r="A23" t="s">
        <v>31</v>
      </c>
      <c r="B23" t="str">
        <f>TEXT(Table1[[#This Row],[ExactDate]],"mmm-yyyy")</f>
        <v>Jan-2025</v>
      </c>
      <c r="C23" s="5">
        <v>45679</v>
      </c>
      <c r="D23" t="s">
        <v>198</v>
      </c>
      <c r="E23" s="4" t="s">
        <v>191</v>
      </c>
      <c r="F23" t="s">
        <v>179</v>
      </c>
      <c r="G23" t="s">
        <v>181</v>
      </c>
      <c r="H23" t="s">
        <v>184</v>
      </c>
      <c r="I23">
        <v>7</v>
      </c>
      <c r="J23" s="6">
        <v>151.01</v>
      </c>
      <c r="K23" t="s">
        <v>187</v>
      </c>
      <c r="L23" s="6">
        <f>Table1[[#This Row],[Quantity]]*Table1[[#This Row],[UnitPrice]]</f>
        <v>1057.07</v>
      </c>
      <c r="M23" s="7">
        <f>IF(Table1[[#This Row],[Quantity]]&gt;5,5%*Table1[[#This Row],[TotalSales]],0)</f>
        <v>52.853499999999997</v>
      </c>
      <c r="N23" s="6">
        <f>Table1[[#This Row],[TotalSales]]-Table1[[#This Row],[Discount]]</f>
        <v>1004.2165</v>
      </c>
      <c r="O23" s="10" t="str">
        <f>IF(Table1[[#This Row],[TotalSales]]&gt;3000,"High Value","Regular")</f>
        <v>Regular</v>
      </c>
      <c r="P23" s="11">
        <f>VLOOKUP(Table1[[#This Row],[Product]],Table2[],2)</f>
        <v>0.03</v>
      </c>
      <c r="Q23" s="6">
        <f>Table1[[#This Row],[TotalSales]]*Table1[[#This Row],[CommissionRate]]</f>
        <v>31.712099999999996</v>
      </c>
    </row>
    <row r="24" spans="1:17" x14ac:dyDescent="0.25">
      <c r="A24" t="s">
        <v>32</v>
      </c>
      <c r="B24" t="str">
        <f>TEXT(Table1[[#This Row],[ExactDate]],"mmm-yyyy")</f>
        <v>Jan-2025</v>
      </c>
      <c r="C24" s="5">
        <v>45680</v>
      </c>
      <c r="D24" t="s">
        <v>192</v>
      </c>
      <c r="E24" s="4" t="s">
        <v>206</v>
      </c>
      <c r="F24" t="s">
        <v>173</v>
      </c>
      <c r="G24" t="s">
        <v>182</v>
      </c>
      <c r="H24" t="s">
        <v>183</v>
      </c>
      <c r="I24">
        <v>8</v>
      </c>
      <c r="J24" s="6">
        <v>415.07</v>
      </c>
      <c r="K24" t="s">
        <v>188</v>
      </c>
      <c r="L24" s="6">
        <f>Table1[[#This Row],[Quantity]]*Table1[[#This Row],[UnitPrice]]</f>
        <v>3320.56</v>
      </c>
      <c r="M24" s="7">
        <f>IF(Table1[[#This Row],[Quantity]]&gt;5,5%*Table1[[#This Row],[TotalSales]],0)</f>
        <v>166.02800000000002</v>
      </c>
      <c r="N24" s="6">
        <f>Table1[[#This Row],[TotalSales]]-Table1[[#This Row],[Discount]]</f>
        <v>3154.5320000000002</v>
      </c>
      <c r="O24" s="10" t="str">
        <f>IF(Table1[[#This Row],[TotalSales]]&gt;3000,"High Value","Regular")</f>
        <v>High Value</v>
      </c>
      <c r="P24" s="11">
        <f>VLOOKUP(Table1[[#This Row],[Product]],Table2[],2)</f>
        <v>0.05</v>
      </c>
      <c r="Q24" s="6">
        <f>Table1[[#This Row],[TotalSales]]*Table1[[#This Row],[CommissionRate]]</f>
        <v>166.02800000000002</v>
      </c>
    </row>
    <row r="25" spans="1:17" x14ac:dyDescent="0.25">
      <c r="A25" t="s">
        <v>33</v>
      </c>
      <c r="B25" t="str">
        <f>TEXT(Table1[[#This Row],[ExactDate]],"mmm-yyyy")</f>
        <v>Jan-2025</v>
      </c>
      <c r="C25" s="5">
        <v>45681</v>
      </c>
      <c r="D25" t="s">
        <v>192</v>
      </c>
      <c r="E25" s="4" t="s">
        <v>193</v>
      </c>
      <c r="F25" t="s">
        <v>179</v>
      </c>
      <c r="G25" t="s">
        <v>181</v>
      </c>
      <c r="H25" t="s">
        <v>183</v>
      </c>
      <c r="I25">
        <v>5</v>
      </c>
      <c r="J25" s="6">
        <v>394.67</v>
      </c>
      <c r="K25" t="s">
        <v>187</v>
      </c>
      <c r="L25" s="6">
        <f>Table1[[#This Row],[Quantity]]*Table1[[#This Row],[UnitPrice]]</f>
        <v>1973.3500000000001</v>
      </c>
      <c r="M25" s="7">
        <f>IF(Table1[[#This Row],[Quantity]]&gt;5,5%*Table1[[#This Row],[TotalSales]],0)</f>
        <v>0</v>
      </c>
      <c r="N25" s="6">
        <f>Table1[[#This Row],[TotalSales]]-Table1[[#This Row],[Discount]]</f>
        <v>1973.3500000000001</v>
      </c>
      <c r="O25" s="10" t="str">
        <f>IF(Table1[[#This Row],[TotalSales]]&gt;3000,"High Value","Regular")</f>
        <v>Regular</v>
      </c>
      <c r="P25" s="11">
        <f>VLOOKUP(Table1[[#This Row],[Product]],Table2[],2)</f>
        <v>0.03</v>
      </c>
      <c r="Q25" s="6">
        <f>Table1[[#This Row],[TotalSales]]*Table1[[#This Row],[CommissionRate]]</f>
        <v>59.200500000000005</v>
      </c>
    </row>
    <row r="26" spans="1:17" x14ac:dyDescent="0.25">
      <c r="A26" t="s">
        <v>34</v>
      </c>
      <c r="B26" t="str">
        <f>TEXT(Table1[[#This Row],[ExactDate]],"mmm-yyyy")</f>
        <v>Jan-2025</v>
      </c>
      <c r="C26" s="5">
        <v>45682</v>
      </c>
      <c r="D26" t="s">
        <v>198</v>
      </c>
      <c r="E26" s="4" t="s">
        <v>191</v>
      </c>
      <c r="F26" t="s">
        <v>173</v>
      </c>
      <c r="G26" t="s">
        <v>182</v>
      </c>
      <c r="H26" t="s">
        <v>185</v>
      </c>
      <c r="I26">
        <v>8</v>
      </c>
      <c r="J26" s="6">
        <v>872.66</v>
      </c>
      <c r="K26" t="s">
        <v>189</v>
      </c>
      <c r="L26" s="6">
        <f>Table1[[#This Row],[Quantity]]*Table1[[#This Row],[UnitPrice]]</f>
        <v>6981.28</v>
      </c>
      <c r="M26" s="7">
        <f>IF(Table1[[#This Row],[Quantity]]&gt;5,5%*Table1[[#This Row],[TotalSales]],0)</f>
        <v>349.06400000000002</v>
      </c>
      <c r="N26" s="6">
        <f>Table1[[#This Row],[TotalSales]]-Table1[[#This Row],[Discount]]</f>
        <v>6632.2159999999994</v>
      </c>
      <c r="O26" s="10" t="str">
        <f>IF(Table1[[#This Row],[TotalSales]]&gt;3000,"High Value","Regular")</f>
        <v>High Value</v>
      </c>
      <c r="P26" s="11">
        <f>VLOOKUP(Table1[[#This Row],[Product]],Table2[],2)</f>
        <v>0.05</v>
      </c>
      <c r="Q26" s="6">
        <f>Table1[[#This Row],[TotalSales]]*Table1[[#This Row],[CommissionRate]]</f>
        <v>349.06400000000002</v>
      </c>
    </row>
    <row r="27" spans="1:17" x14ac:dyDescent="0.25">
      <c r="A27" t="s">
        <v>35</v>
      </c>
      <c r="B27" t="str">
        <f>TEXT(Table1[[#This Row],[ExactDate]],"mmm-yyyy")</f>
        <v>Jan-2025</v>
      </c>
      <c r="C27" s="5">
        <v>45683</v>
      </c>
      <c r="D27" t="s">
        <v>198</v>
      </c>
      <c r="E27" s="4" t="s">
        <v>202</v>
      </c>
      <c r="F27" t="s">
        <v>174</v>
      </c>
      <c r="G27" t="s">
        <v>182</v>
      </c>
      <c r="H27" t="s">
        <v>185</v>
      </c>
      <c r="I27">
        <v>7</v>
      </c>
      <c r="J27" s="6">
        <v>548.6</v>
      </c>
      <c r="K27" t="s">
        <v>189</v>
      </c>
      <c r="L27" s="6">
        <f>Table1[[#This Row],[Quantity]]*Table1[[#This Row],[UnitPrice]]</f>
        <v>3840.2000000000003</v>
      </c>
      <c r="M27" s="7">
        <f>IF(Table1[[#This Row],[Quantity]]&gt;5,5%*Table1[[#This Row],[TotalSales]],0)</f>
        <v>192.01000000000002</v>
      </c>
      <c r="N27" s="6">
        <f>Table1[[#This Row],[TotalSales]]-Table1[[#This Row],[Discount]]</f>
        <v>3648.19</v>
      </c>
      <c r="O27" s="10" t="str">
        <f>IF(Table1[[#This Row],[TotalSales]]&gt;3000,"High Value","Regular")</f>
        <v>High Value</v>
      </c>
      <c r="P27" s="11">
        <f>VLOOKUP(Table1[[#This Row],[Product]],Table2[],2)</f>
        <v>0.04</v>
      </c>
      <c r="Q27" s="6">
        <f>Table1[[#This Row],[TotalSales]]*Table1[[#This Row],[CommissionRate]]</f>
        <v>153.608</v>
      </c>
    </row>
    <row r="28" spans="1:17" x14ac:dyDescent="0.25">
      <c r="A28" t="s">
        <v>36</v>
      </c>
      <c r="B28" t="str">
        <f>TEXT(Table1[[#This Row],[ExactDate]],"mmm-yyyy")</f>
        <v>Jan-2025</v>
      </c>
      <c r="C28" s="5">
        <v>45684</v>
      </c>
      <c r="D28" t="s">
        <v>207</v>
      </c>
      <c r="E28" s="4" t="s">
        <v>204</v>
      </c>
      <c r="F28" t="s">
        <v>174</v>
      </c>
      <c r="G28" t="s">
        <v>182</v>
      </c>
      <c r="H28" t="s">
        <v>186</v>
      </c>
      <c r="I28">
        <v>5</v>
      </c>
      <c r="J28" s="6">
        <v>847.91</v>
      </c>
      <c r="K28" t="s">
        <v>187</v>
      </c>
      <c r="L28" s="6">
        <f>Table1[[#This Row],[Quantity]]*Table1[[#This Row],[UnitPrice]]</f>
        <v>4239.55</v>
      </c>
      <c r="M28" s="7">
        <f>IF(Table1[[#This Row],[Quantity]]&gt;5,5%*Table1[[#This Row],[TotalSales]],0)</f>
        <v>0</v>
      </c>
      <c r="N28" s="6">
        <f>Table1[[#This Row],[TotalSales]]-Table1[[#This Row],[Discount]]</f>
        <v>4239.55</v>
      </c>
      <c r="O28" s="10" t="str">
        <f>IF(Table1[[#This Row],[TotalSales]]&gt;3000,"High Value","Regular")</f>
        <v>High Value</v>
      </c>
      <c r="P28" s="11">
        <f>VLOOKUP(Table1[[#This Row],[Product]],Table2[],2)</f>
        <v>0.04</v>
      </c>
      <c r="Q28" s="6">
        <f>Table1[[#This Row],[TotalSales]]*Table1[[#This Row],[CommissionRate]]</f>
        <v>169.58200000000002</v>
      </c>
    </row>
    <row r="29" spans="1:17" x14ac:dyDescent="0.25">
      <c r="A29" t="s">
        <v>37</v>
      </c>
      <c r="B29" t="str">
        <f>TEXT(Table1[[#This Row],[ExactDate]],"mmm-yyyy")</f>
        <v>Jan-2025</v>
      </c>
      <c r="C29" s="5">
        <v>45685</v>
      </c>
      <c r="D29" t="s">
        <v>208</v>
      </c>
      <c r="E29" s="4" t="s">
        <v>204</v>
      </c>
      <c r="F29" t="s">
        <v>173</v>
      </c>
      <c r="G29" t="s">
        <v>182</v>
      </c>
      <c r="H29" t="s">
        <v>185</v>
      </c>
      <c r="I29">
        <v>6</v>
      </c>
      <c r="J29" s="6">
        <v>235.22</v>
      </c>
      <c r="K29" t="s">
        <v>189</v>
      </c>
      <c r="L29" s="6">
        <f>Table1[[#This Row],[Quantity]]*Table1[[#This Row],[UnitPrice]]</f>
        <v>1411.32</v>
      </c>
      <c r="M29" s="7">
        <f>IF(Table1[[#This Row],[Quantity]]&gt;5,5%*Table1[[#This Row],[TotalSales]],0)</f>
        <v>70.566000000000003</v>
      </c>
      <c r="N29" s="6">
        <f>Table1[[#This Row],[TotalSales]]-Table1[[#This Row],[Discount]]</f>
        <v>1340.7539999999999</v>
      </c>
      <c r="O29" s="10" t="str">
        <f>IF(Table1[[#This Row],[TotalSales]]&gt;3000,"High Value","Regular")</f>
        <v>Regular</v>
      </c>
      <c r="P29" s="11">
        <f>VLOOKUP(Table1[[#This Row],[Product]],Table2[],2)</f>
        <v>0.05</v>
      </c>
      <c r="Q29" s="6">
        <f>Table1[[#This Row],[TotalSales]]*Table1[[#This Row],[CommissionRate]]</f>
        <v>70.566000000000003</v>
      </c>
    </row>
    <row r="30" spans="1:17" x14ac:dyDescent="0.25">
      <c r="A30" t="s">
        <v>38</v>
      </c>
      <c r="B30" t="str">
        <f>TEXT(Table1[[#This Row],[ExactDate]],"mmm-yyyy")</f>
        <v>Jan-2025</v>
      </c>
      <c r="C30" s="5">
        <v>45686</v>
      </c>
      <c r="D30" t="s">
        <v>190</v>
      </c>
      <c r="E30" s="4" t="s">
        <v>193</v>
      </c>
      <c r="F30" t="s">
        <v>177</v>
      </c>
      <c r="G30" t="s">
        <v>181</v>
      </c>
      <c r="H30" t="s">
        <v>186</v>
      </c>
      <c r="I30">
        <v>7</v>
      </c>
      <c r="J30" s="6">
        <v>128.78</v>
      </c>
      <c r="K30" t="s">
        <v>187</v>
      </c>
      <c r="L30" s="6">
        <f>Table1[[#This Row],[Quantity]]*Table1[[#This Row],[UnitPrice]]</f>
        <v>901.46</v>
      </c>
      <c r="M30" s="7">
        <f>IF(Table1[[#This Row],[Quantity]]&gt;5,5%*Table1[[#This Row],[TotalSales]],0)</f>
        <v>45.073000000000008</v>
      </c>
      <c r="N30" s="6">
        <f>Table1[[#This Row],[TotalSales]]-Table1[[#This Row],[Discount]]</f>
        <v>856.38700000000006</v>
      </c>
      <c r="O30" s="10" t="str">
        <f>IF(Table1[[#This Row],[TotalSales]]&gt;3000,"High Value","Regular")</f>
        <v>Regular</v>
      </c>
      <c r="P30" s="11">
        <f>VLOOKUP(Table1[[#This Row],[Product]],Table2[],2)</f>
        <v>0.02</v>
      </c>
      <c r="Q30" s="6">
        <f>Table1[[#This Row],[TotalSales]]*Table1[[#This Row],[CommissionRate]]</f>
        <v>18.029199999999999</v>
      </c>
    </row>
    <row r="31" spans="1:17" x14ac:dyDescent="0.25">
      <c r="A31" t="s">
        <v>39</v>
      </c>
      <c r="B31" t="str">
        <f>TEXT(Table1[[#This Row],[ExactDate]],"mmm-yyyy")</f>
        <v>Jan-2025</v>
      </c>
      <c r="C31" s="5">
        <v>45687</v>
      </c>
      <c r="D31" t="s">
        <v>209</v>
      </c>
      <c r="E31" s="4" t="s">
        <v>204</v>
      </c>
      <c r="F31" t="s">
        <v>179</v>
      </c>
      <c r="G31" t="s">
        <v>181</v>
      </c>
      <c r="H31" t="s">
        <v>183</v>
      </c>
      <c r="I31">
        <v>1</v>
      </c>
      <c r="J31" s="6">
        <v>618.27</v>
      </c>
      <c r="K31" t="s">
        <v>189</v>
      </c>
      <c r="L31" s="6">
        <f>Table1[[#This Row],[Quantity]]*Table1[[#This Row],[UnitPrice]]</f>
        <v>618.27</v>
      </c>
      <c r="M31" s="7">
        <f>IF(Table1[[#This Row],[Quantity]]&gt;5,5%*Table1[[#This Row],[TotalSales]],0)</f>
        <v>0</v>
      </c>
      <c r="N31" s="6">
        <f>Table1[[#This Row],[TotalSales]]-Table1[[#This Row],[Discount]]</f>
        <v>618.27</v>
      </c>
      <c r="O31" s="10" t="str">
        <f>IF(Table1[[#This Row],[TotalSales]]&gt;3000,"High Value","Regular")</f>
        <v>Regular</v>
      </c>
      <c r="P31" s="11">
        <f>VLOOKUP(Table1[[#This Row],[Product]],Table2[],2)</f>
        <v>0.03</v>
      </c>
      <c r="Q31" s="6">
        <f>Table1[[#This Row],[TotalSales]]*Table1[[#This Row],[CommissionRate]]</f>
        <v>18.548099999999998</v>
      </c>
    </row>
    <row r="32" spans="1:17" x14ac:dyDescent="0.25">
      <c r="A32" t="s">
        <v>40</v>
      </c>
      <c r="B32" t="str">
        <f>TEXT(Table1[[#This Row],[ExactDate]],"mmm-yyyy")</f>
        <v>Jan-2025</v>
      </c>
      <c r="C32" s="5">
        <v>45688</v>
      </c>
      <c r="D32" t="s">
        <v>208</v>
      </c>
      <c r="E32" s="4" t="s">
        <v>191</v>
      </c>
      <c r="F32" t="s">
        <v>175</v>
      </c>
      <c r="G32" t="s">
        <v>182</v>
      </c>
      <c r="H32" t="s">
        <v>183</v>
      </c>
      <c r="I32">
        <v>4</v>
      </c>
      <c r="J32" s="6">
        <v>661.2</v>
      </c>
      <c r="K32" t="s">
        <v>189</v>
      </c>
      <c r="L32" s="6">
        <f>Table1[[#This Row],[Quantity]]*Table1[[#This Row],[UnitPrice]]</f>
        <v>2644.8</v>
      </c>
      <c r="M32" s="7">
        <f>IF(Table1[[#This Row],[Quantity]]&gt;5,5%*Table1[[#This Row],[TotalSales]],0)</f>
        <v>0</v>
      </c>
      <c r="N32" s="6">
        <f>Table1[[#This Row],[TotalSales]]-Table1[[#This Row],[Discount]]</f>
        <v>2644.8</v>
      </c>
      <c r="O32" s="10" t="str">
        <f>IF(Table1[[#This Row],[TotalSales]]&gt;3000,"High Value","Regular")</f>
        <v>Regular</v>
      </c>
      <c r="P32" s="11">
        <f>VLOOKUP(Table1[[#This Row],[Product]],Table2[],2)</f>
        <v>0.04</v>
      </c>
      <c r="Q32" s="6">
        <f>Table1[[#This Row],[TotalSales]]*Table1[[#This Row],[CommissionRate]]</f>
        <v>105.79200000000002</v>
      </c>
    </row>
    <row r="33" spans="1:17" x14ac:dyDescent="0.25">
      <c r="A33" t="s">
        <v>41</v>
      </c>
      <c r="B33" t="str">
        <f>TEXT(Table1[[#This Row],[ExactDate]],"mmm-yyyy")</f>
        <v>Feb-2025</v>
      </c>
      <c r="C33" s="5">
        <v>45689</v>
      </c>
      <c r="D33" t="s">
        <v>207</v>
      </c>
      <c r="E33" s="4" t="s">
        <v>204</v>
      </c>
      <c r="F33" t="s">
        <v>180</v>
      </c>
      <c r="G33" t="s">
        <v>181</v>
      </c>
      <c r="H33" t="s">
        <v>183</v>
      </c>
      <c r="I33">
        <v>2</v>
      </c>
      <c r="J33" s="6">
        <v>465.33</v>
      </c>
      <c r="K33" t="s">
        <v>188</v>
      </c>
      <c r="L33" s="6">
        <f>Table1[[#This Row],[Quantity]]*Table1[[#This Row],[UnitPrice]]</f>
        <v>930.66</v>
      </c>
      <c r="M33" s="7">
        <f>IF(Table1[[#This Row],[Quantity]]&gt;5,5%*Table1[[#This Row],[TotalSales]],0)</f>
        <v>0</v>
      </c>
      <c r="N33" s="6">
        <f>Table1[[#This Row],[TotalSales]]-Table1[[#This Row],[Discount]]</f>
        <v>930.66</v>
      </c>
      <c r="O33" s="10" t="str">
        <f>IF(Table1[[#This Row],[TotalSales]]&gt;3000,"High Value","Regular")</f>
        <v>Regular</v>
      </c>
      <c r="P33" s="11">
        <f>VLOOKUP(Table1[[#This Row],[Product]],Table2[],2)</f>
        <v>0.02</v>
      </c>
      <c r="Q33" s="6">
        <f>Table1[[#This Row],[TotalSales]]*Table1[[#This Row],[CommissionRate]]</f>
        <v>18.613199999999999</v>
      </c>
    </row>
    <row r="34" spans="1:17" x14ac:dyDescent="0.25">
      <c r="A34" t="s">
        <v>42</v>
      </c>
      <c r="B34" t="str">
        <f>TEXT(Table1[[#This Row],[ExactDate]],"mmm-yyyy")</f>
        <v>Feb-2025</v>
      </c>
      <c r="C34" s="5">
        <v>45690</v>
      </c>
      <c r="D34" t="s">
        <v>198</v>
      </c>
      <c r="E34" s="4" t="s">
        <v>199</v>
      </c>
      <c r="F34" t="s">
        <v>177</v>
      </c>
      <c r="G34" t="s">
        <v>181</v>
      </c>
      <c r="H34" t="s">
        <v>186</v>
      </c>
      <c r="I34">
        <v>8</v>
      </c>
      <c r="J34" s="6">
        <v>50.31</v>
      </c>
      <c r="K34" t="s">
        <v>187</v>
      </c>
      <c r="L34" s="6">
        <f>Table1[[#This Row],[Quantity]]*Table1[[#This Row],[UnitPrice]]</f>
        <v>402.48</v>
      </c>
      <c r="M34" s="7">
        <f>IF(Table1[[#This Row],[Quantity]]&gt;5,5%*Table1[[#This Row],[TotalSales]],0)</f>
        <v>20.124000000000002</v>
      </c>
      <c r="N34" s="6">
        <f>Table1[[#This Row],[TotalSales]]-Table1[[#This Row],[Discount]]</f>
        <v>382.35599999999999</v>
      </c>
      <c r="O34" s="10" t="str">
        <f>IF(Table1[[#This Row],[TotalSales]]&gt;3000,"High Value","Regular")</f>
        <v>Regular</v>
      </c>
      <c r="P34" s="11">
        <f>VLOOKUP(Table1[[#This Row],[Product]],Table2[],2)</f>
        <v>0.02</v>
      </c>
      <c r="Q34" s="6">
        <f>Table1[[#This Row],[TotalSales]]*Table1[[#This Row],[CommissionRate]]</f>
        <v>8.0495999999999999</v>
      </c>
    </row>
    <row r="35" spans="1:17" x14ac:dyDescent="0.25">
      <c r="A35" t="s">
        <v>43</v>
      </c>
      <c r="B35" t="str">
        <f>TEXT(Table1[[#This Row],[ExactDate]],"mmm-yyyy")</f>
        <v>Feb-2025</v>
      </c>
      <c r="C35" s="5">
        <v>45691</v>
      </c>
      <c r="D35" t="s">
        <v>208</v>
      </c>
      <c r="E35" s="4" t="s">
        <v>202</v>
      </c>
      <c r="F35" t="s">
        <v>174</v>
      </c>
      <c r="G35" t="s">
        <v>182</v>
      </c>
      <c r="H35" t="s">
        <v>184</v>
      </c>
      <c r="I35">
        <v>10</v>
      </c>
      <c r="J35" s="6">
        <v>685.63</v>
      </c>
      <c r="K35" t="s">
        <v>187</v>
      </c>
      <c r="L35" s="6">
        <f>Table1[[#This Row],[Quantity]]*Table1[[#This Row],[UnitPrice]]</f>
        <v>6856.3</v>
      </c>
      <c r="M35" s="7">
        <f>IF(Table1[[#This Row],[Quantity]]&gt;5,5%*Table1[[#This Row],[TotalSales]],0)</f>
        <v>342.81500000000005</v>
      </c>
      <c r="N35" s="6">
        <f>Table1[[#This Row],[TotalSales]]-Table1[[#This Row],[Discount]]</f>
        <v>6513.4850000000006</v>
      </c>
      <c r="O35" s="10" t="str">
        <f>IF(Table1[[#This Row],[TotalSales]]&gt;3000,"High Value","Regular")</f>
        <v>High Value</v>
      </c>
      <c r="P35" s="11">
        <f>VLOOKUP(Table1[[#This Row],[Product]],Table2[],2)</f>
        <v>0.04</v>
      </c>
      <c r="Q35" s="6">
        <f>Table1[[#This Row],[TotalSales]]*Table1[[#This Row],[CommissionRate]]</f>
        <v>274.25200000000001</v>
      </c>
    </row>
    <row r="36" spans="1:17" x14ac:dyDescent="0.25">
      <c r="A36" t="s">
        <v>44</v>
      </c>
      <c r="B36" t="str">
        <f>TEXT(Table1[[#This Row],[ExactDate]],"mmm-yyyy")</f>
        <v>Feb-2025</v>
      </c>
      <c r="C36" s="5">
        <v>45692</v>
      </c>
      <c r="D36" t="s">
        <v>207</v>
      </c>
      <c r="E36" s="4" t="s">
        <v>202</v>
      </c>
      <c r="F36" t="s">
        <v>171</v>
      </c>
      <c r="G36" t="s">
        <v>182</v>
      </c>
      <c r="H36" t="s">
        <v>185</v>
      </c>
      <c r="I36">
        <v>4</v>
      </c>
      <c r="J36" s="6">
        <v>465.85</v>
      </c>
      <c r="K36" t="s">
        <v>189</v>
      </c>
      <c r="L36" s="6">
        <f>Table1[[#This Row],[Quantity]]*Table1[[#This Row],[UnitPrice]]</f>
        <v>1863.4</v>
      </c>
      <c r="M36" s="7">
        <f>IF(Table1[[#This Row],[Quantity]]&gt;5,5%*Table1[[#This Row],[TotalSales]],0)</f>
        <v>0</v>
      </c>
      <c r="N36" s="6">
        <f>Table1[[#This Row],[TotalSales]]-Table1[[#This Row],[Discount]]</f>
        <v>1863.4</v>
      </c>
      <c r="O36" s="10" t="str">
        <f>IF(Table1[[#This Row],[TotalSales]]&gt;3000,"High Value","Regular")</f>
        <v>Regular</v>
      </c>
      <c r="P36" s="11">
        <f>VLOOKUP(Table1[[#This Row],[Product]],Table2[],2)</f>
        <v>0.05</v>
      </c>
      <c r="Q36" s="6">
        <f>Table1[[#This Row],[TotalSales]]*Table1[[#This Row],[CommissionRate]]</f>
        <v>93.170000000000016</v>
      </c>
    </row>
    <row r="37" spans="1:17" x14ac:dyDescent="0.25">
      <c r="A37" t="s">
        <v>45</v>
      </c>
      <c r="B37" t="str">
        <f>TEXT(Table1[[#This Row],[ExactDate]],"mmm-yyyy")</f>
        <v>Feb-2025</v>
      </c>
      <c r="C37" s="5">
        <v>45693</v>
      </c>
      <c r="D37" t="s">
        <v>209</v>
      </c>
      <c r="E37" s="4" t="s">
        <v>197</v>
      </c>
      <c r="F37" t="s">
        <v>178</v>
      </c>
      <c r="G37" t="s">
        <v>181</v>
      </c>
      <c r="H37" t="s">
        <v>185</v>
      </c>
      <c r="I37">
        <v>5</v>
      </c>
      <c r="J37" s="6">
        <v>42.3</v>
      </c>
      <c r="K37" t="s">
        <v>187</v>
      </c>
      <c r="L37" s="6">
        <f>Table1[[#This Row],[Quantity]]*Table1[[#This Row],[UnitPrice]]</f>
        <v>211.5</v>
      </c>
      <c r="M37" s="7">
        <f>IF(Table1[[#This Row],[Quantity]]&gt;5,5%*Table1[[#This Row],[TotalSales]],0)</f>
        <v>0</v>
      </c>
      <c r="N37" s="6">
        <f>Table1[[#This Row],[TotalSales]]-Table1[[#This Row],[Discount]]</f>
        <v>211.5</v>
      </c>
      <c r="O37" s="10" t="str">
        <f>IF(Table1[[#This Row],[TotalSales]]&gt;3000,"High Value","Regular")</f>
        <v>Regular</v>
      </c>
      <c r="P37" s="11">
        <f>VLOOKUP(Table1[[#This Row],[Product]],Table2[],2)</f>
        <v>0.02</v>
      </c>
      <c r="Q37" s="6">
        <f>Table1[[#This Row],[TotalSales]]*Table1[[#This Row],[CommissionRate]]</f>
        <v>4.2300000000000004</v>
      </c>
    </row>
    <row r="38" spans="1:17" x14ac:dyDescent="0.25">
      <c r="A38" t="s">
        <v>46</v>
      </c>
      <c r="B38" t="str">
        <f>TEXT(Table1[[#This Row],[ExactDate]],"mmm-yyyy")</f>
        <v>Feb-2025</v>
      </c>
      <c r="C38" s="5">
        <v>45694</v>
      </c>
      <c r="D38" t="s">
        <v>208</v>
      </c>
      <c r="E38" s="4" t="s">
        <v>204</v>
      </c>
      <c r="F38" t="s">
        <v>172</v>
      </c>
      <c r="G38" t="s">
        <v>181</v>
      </c>
      <c r="H38" t="s">
        <v>186</v>
      </c>
      <c r="I38">
        <v>1</v>
      </c>
      <c r="J38" s="6">
        <v>77.37</v>
      </c>
      <c r="K38" t="s">
        <v>188</v>
      </c>
      <c r="L38" s="6">
        <f>Table1[[#This Row],[Quantity]]*Table1[[#This Row],[UnitPrice]]</f>
        <v>77.37</v>
      </c>
      <c r="M38" s="7">
        <f>IF(Table1[[#This Row],[Quantity]]&gt;5,5%*Table1[[#This Row],[TotalSales]],0)</f>
        <v>0</v>
      </c>
      <c r="N38" s="6">
        <f>Table1[[#This Row],[TotalSales]]-Table1[[#This Row],[Discount]]</f>
        <v>77.37</v>
      </c>
      <c r="O38" s="10" t="str">
        <f>IF(Table1[[#This Row],[TotalSales]]&gt;3000,"High Value","Regular")</f>
        <v>Regular</v>
      </c>
      <c r="P38" s="11">
        <f>VLOOKUP(Table1[[#This Row],[Product]],Table2[],2)</f>
        <v>0.03</v>
      </c>
      <c r="Q38" s="6">
        <f>Table1[[#This Row],[TotalSales]]*Table1[[#This Row],[CommissionRate]]</f>
        <v>2.3210999999999999</v>
      </c>
    </row>
    <row r="39" spans="1:17" x14ac:dyDescent="0.25">
      <c r="A39" t="s">
        <v>47</v>
      </c>
      <c r="B39" t="str">
        <f>TEXT(Table1[[#This Row],[ExactDate]],"mmm-yyyy")</f>
        <v>Feb-2025</v>
      </c>
      <c r="C39" s="5">
        <v>45695</v>
      </c>
      <c r="D39" t="s">
        <v>209</v>
      </c>
      <c r="E39" s="4" t="s">
        <v>202</v>
      </c>
      <c r="F39" t="s">
        <v>175</v>
      </c>
      <c r="G39" t="s">
        <v>182</v>
      </c>
      <c r="H39" t="s">
        <v>184</v>
      </c>
      <c r="I39">
        <v>7</v>
      </c>
      <c r="J39" s="6">
        <v>925.68</v>
      </c>
      <c r="K39" t="s">
        <v>187</v>
      </c>
      <c r="L39" s="6">
        <f>Table1[[#This Row],[Quantity]]*Table1[[#This Row],[UnitPrice]]</f>
        <v>6479.7599999999993</v>
      </c>
      <c r="M39" s="7">
        <f>IF(Table1[[#This Row],[Quantity]]&gt;5,5%*Table1[[#This Row],[TotalSales]],0)</f>
        <v>323.988</v>
      </c>
      <c r="N39" s="6">
        <f>Table1[[#This Row],[TotalSales]]-Table1[[#This Row],[Discount]]</f>
        <v>6155.771999999999</v>
      </c>
      <c r="O39" s="10" t="str">
        <f>IF(Table1[[#This Row],[TotalSales]]&gt;3000,"High Value","Regular")</f>
        <v>High Value</v>
      </c>
      <c r="P39" s="11">
        <f>VLOOKUP(Table1[[#This Row],[Product]],Table2[],2)</f>
        <v>0.04</v>
      </c>
      <c r="Q39" s="6">
        <f>Table1[[#This Row],[TotalSales]]*Table1[[#This Row],[CommissionRate]]</f>
        <v>259.19039999999995</v>
      </c>
    </row>
    <row r="40" spans="1:17" x14ac:dyDescent="0.25">
      <c r="A40" t="s">
        <v>48</v>
      </c>
      <c r="B40" t="str">
        <f>TEXT(Table1[[#This Row],[ExactDate]],"mmm-yyyy")</f>
        <v>Feb-2025</v>
      </c>
      <c r="C40" s="5">
        <v>45696</v>
      </c>
      <c r="D40" t="s">
        <v>198</v>
      </c>
      <c r="E40" s="4" t="s">
        <v>205</v>
      </c>
      <c r="F40" t="s">
        <v>180</v>
      </c>
      <c r="G40" t="s">
        <v>181</v>
      </c>
      <c r="H40" t="s">
        <v>183</v>
      </c>
      <c r="I40">
        <v>3</v>
      </c>
      <c r="J40" s="6">
        <v>461.37</v>
      </c>
      <c r="K40" t="s">
        <v>188</v>
      </c>
      <c r="L40" s="6">
        <f>Table1[[#This Row],[Quantity]]*Table1[[#This Row],[UnitPrice]]</f>
        <v>1384.1100000000001</v>
      </c>
      <c r="M40" s="7">
        <f>IF(Table1[[#This Row],[Quantity]]&gt;5,5%*Table1[[#This Row],[TotalSales]],0)</f>
        <v>0</v>
      </c>
      <c r="N40" s="6">
        <f>Table1[[#This Row],[TotalSales]]-Table1[[#This Row],[Discount]]</f>
        <v>1384.1100000000001</v>
      </c>
      <c r="O40" s="10" t="str">
        <f>IF(Table1[[#This Row],[TotalSales]]&gt;3000,"High Value","Regular")</f>
        <v>Regular</v>
      </c>
      <c r="P40" s="11">
        <f>VLOOKUP(Table1[[#This Row],[Product]],Table2[],2)</f>
        <v>0.02</v>
      </c>
      <c r="Q40" s="6">
        <f>Table1[[#This Row],[TotalSales]]*Table1[[#This Row],[CommissionRate]]</f>
        <v>27.682200000000002</v>
      </c>
    </row>
    <row r="41" spans="1:17" x14ac:dyDescent="0.25">
      <c r="A41" t="s">
        <v>49</v>
      </c>
      <c r="B41" t="str">
        <f>TEXT(Table1[[#This Row],[ExactDate]],"mmm-yyyy")</f>
        <v>Feb-2025</v>
      </c>
      <c r="C41" s="5">
        <v>45697</v>
      </c>
      <c r="D41" t="s">
        <v>196</v>
      </c>
      <c r="E41" s="4" t="s">
        <v>191</v>
      </c>
      <c r="F41" t="s">
        <v>174</v>
      </c>
      <c r="G41" t="s">
        <v>182</v>
      </c>
      <c r="H41" t="s">
        <v>184</v>
      </c>
      <c r="I41">
        <v>7</v>
      </c>
      <c r="J41" s="6">
        <v>786.23</v>
      </c>
      <c r="K41" t="s">
        <v>188</v>
      </c>
      <c r="L41" s="6">
        <f>Table1[[#This Row],[Quantity]]*Table1[[#This Row],[UnitPrice]]</f>
        <v>5503.6100000000006</v>
      </c>
      <c r="M41" s="7">
        <f>IF(Table1[[#This Row],[Quantity]]&gt;5,5%*Table1[[#This Row],[TotalSales]],0)</f>
        <v>275.18050000000005</v>
      </c>
      <c r="N41" s="6">
        <f>Table1[[#This Row],[TotalSales]]-Table1[[#This Row],[Discount]]</f>
        <v>5228.4295000000002</v>
      </c>
      <c r="O41" s="10" t="str">
        <f>IF(Table1[[#This Row],[TotalSales]]&gt;3000,"High Value","Regular")</f>
        <v>High Value</v>
      </c>
      <c r="P41" s="11">
        <f>VLOOKUP(Table1[[#This Row],[Product]],Table2[],2)</f>
        <v>0.04</v>
      </c>
      <c r="Q41" s="6">
        <f>Table1[[#This Row],[TotalSales]]*Table1[[#This Row],[CommissionRate]]</f>
        <v>220.14440000000002</v>
      </c>
    </row>
    <row r="42" spans="1:17" x14ac:dyDescent="0.25">
      <c r="A42" t="s">
        <v>50</v>
      </c>
      <c r="B42" t="str">
        <f>TEXT(Table1[[#This Row],[ExactDate]],"mmm-yyyy")</f>
        <v>Feb-2025</v>
      </c>
      <c r="C42" s="5">
        <v>45698</v>
      </c>
      <c r="D42" t="s">
        <v>194</v>
      </c>
      <c r="E42" s="4" t="s">
        <v>191</v>
      </c>
      <c r="F42" t="s">
        <v>180</v>
      </c>
      <c r="G42" t="s">
        <v>181</v>
      </c>
      <c r="H42" t="s">
        <v>185</v>
      </c>
      <c r="I42">
        <v>7</v>
      </c>
      <c r="J42" s="6">
        <v>418.54</v>
      </c>
      <c r="K42" t="s">
        <v>187</v>
      </c>
      <c r="L42" s="6">
        <f>Table1[[#This Row],[Quantity]]*Table1[[#This Row],[UnitPrice]]</f>
        <v>2929.78</v>
      </c>
      <c r="M42" s="7">
        <f>IF(Table1[[#This Row],[Quantity]]&gt;5,5%*Table1[[#This Row],[TotalSales]],0)</f>
        <v>146.489</v>
      </c>
      <c r="N42" s="6">
        <f>Table1[[#This Row],[TotalSales]]-Table1[[#This Row],[Discount]]</f>
        <v>2783.2910000000002</v>
      </c>
      <c r="O42" s="10" t="str">
        <f>IF(Table1[[#This Row],[TotalSales]]&gt;3000,"High Value","Regular")</f>
        <v>Regular</v>
      </c>
      <c r="P42" s="11">
        <f>VLOOKUP(Table1[[#This Row],[Product]],Table2[],2)</f>
        <v>0.02</v>
      </c>
      <c r="Q42" s="6">
        <f>Table1[[#This Row],[TotalSales]]*Table1[[#This Row],[CommissionRate]]</f>
        <v>58.595600000000005</v>
      </c>
    </row>
    <row r="43" spans="1:17" x14ac:dyDescent="0.25">
      <c r="A43" t="s">
        <v>51</v>
      </c>
      <c r="B43" t="str">
        <f>TEXT(Table1[[#This Row],[ExactDate]],"mmm-yyyy")</f>
        <v>Feb-2025</v>
      </c>
      <c r="C43" s="5">
        <v>45699</v>
      </c>
      <c r="D43" t="s">
        <v>190</v>
      </c>
      <c r="E43" s="4" t="s">
        <v>203</v>
      </c>
      <c r="F43" t="s">
        <v>175</v>
      </c>
      <c r="G43" t="s">
        <v>182</v>
      </c>
      <c r="H43" t="s">
        <v>184</v>
      </c>
      <c r="I43">
        <v>8</v>
      </c>
      <c r="J43" s="6">
        <v>29.07</v>
      </c>
      <c r="K43" t="s">
        <v>188</v>
      </c>
      <c r="L43" s="6">
        <f>Table1[[#This Row],[Quantity]]*Table1[[#This Row],[UnitPrice]]</f>
        <v>232.56</v>
      </c>
      <c r="M43" s="7">
        <f>IF(Table1[[#This Row],[Quantity]]&gt;5,5%*Table1[[#This Row],[TotalSales]],0)</f>
        <v>11.628</v>
      </c>
      <c r="N43" s="6">
        <f>Table1[[#This Row],[TotalSales]]-Table1[[#This Row],[Discount]]</f>
        <v>220.93200000000002</v>
      </c>
      <c r="O43" s="10" t="str">
        <f>IF(Table1[[#This Row],[TotalSales]]&gt;3000,"High Value","Regular")</f>
        <v>Regular</v>
      </c>
      <c r="P43" s="11">
        <f>VLOOKUP(Table1[[#This Row],[Product]],Table2[],2)</f>
        <v>0.04</v>
      </c>
      <c r="Q43" s="6">
        <f>Table1[[#This Row],[TotalSales]]*Table1[[#This Row],[CommissionRate]]</f>
        <v>9.3024000000000004</v>
      </c>
    </row>
    <row r="44" spans="1:17" x14ac:dyDescent="0.25">
      <c r="A44" t="s">
        <v>52</v>
      </c>
      <c r="B44" t="str">
        <f>TEXT(Table1[[#This Row],[ExactDate]],"mmm-yyyy")</f>
        <v>Feb-2025</v>
      </c>
      <c r="C44" s="5">
        <v>45700</v>
      </c>
      <c r="D44" t="s">
        <v>207</v>
      </c>
      <c r="E44" s="4" t="s">
        <v>206</v>
      </c>
      <c r="F44" t="s">
        <v>176</v>
      </c>
      <c r="G44" t="s">
        <v>182</v>
      </c>
      <c r="H44" t="s">
        <v>184</v>
      </c>
      <c r="I44">
        <v>10</v>
      </c>
      <c r="J44" s="6">
        <v>520.15</v>
      </c>
      <c r="K44" t="s">
        <v>187</v>
      </c>
      <c r="L44" s="6">
        <f>Table1[[#This Row],[Quantity]]*Table1[[#This Row],[UnitPrice]]</f>
        <v>5201.5</v>
      </c>
      <c r="M44" s="7">
        <f>IF(Table1[[#This Row],[Quantity]]&gt;5,5%*Table1[[#This Row],[TotalSales]],0)</f>
        <v>260.07499999999999</v>
      </c>
      <c r="N44" s="6">
        <f>Table1[[#This Row],[TotalSales]]-Table1[[#This Row],[Discount]]</f>
        <v>4941.4250000000002</v>
      </c>
      <c r="O44" s="10" t="str">
        <f>IF(Table1[[#This Row],[TotalSales]]&gt;3000,"High Value","Regular")</f>
        <v>High Value</v>
      </c>
      <c r="P44" s="11">
        <f>VLOOKUP(Table1[[#This Row],[Product]],Table2[],2)</f>
        <v>0.05</v>
      </c>
      <c r="Q44" s="6">
        <f>Table1[[#This Row],[TotalSales]]*Table1[[#This Row],[CommissionRate]]</f>
        <v>260.07499999999999</v>
      </c>
    </row>
    <row r="45" spans="1:17" x14ac:dyDescent="0.25">
      <c r="A45" t="s">
        <v>53</v>
      </c>
      <c r="B45" t="str">
        <f>TEXT(Table1[[#This Row],[ExactDate]],"mmm-yyyy")</f>
        <v>Feb-2025</v>
      </c>
      <c r="C45" s="5">
        <v>45701</v>
      </c>
      <c r="D45" t="s">
        <v>190</v>
      </c>
      <c r="E45" s="4" t="s">
        <v>191</v>
      </c>
      <c r="F45" t="s">
        <v>178</v>
      </c>
      <c r="G45" t="s">
        <v>181</v>
      </c>
      <c r="H45" t="s">
        <v>184</v>
      </c>
      <c r="I45">
        <v>8</v>
      </c>
      <c r="J45" s="6">
        <v>958.1</v>
      </c>
      <c r="K45" t="s">
        <v>188</v>
      </c>
      <c r="L45" s="6">
        <f>Table1[[#This Row],[Quantity]]*Table1[[#This Row],[UnitPrice]]</f>
        <v>7664.8</v>
      </c>
      <c r="M45" s="7">
        <f>IF(Table1[[#This Row],[Quantity]]&gt;5,5%*Table1[[#This Row],[TotalSales]],0)</f>
        <v>383.24</v>
      </c>
      <c r="N45" s="6">
        <f>Table1[[#This Row],[TotalSales]]-Table1[[#This Row],[Discount]]</f>
        <v>7281.56</v>
      </c>
      <c r="O45" s="10" t="str">
        <f>IF(Table1[[#This Row],[TotalSales]]&gt;3000,"High Value","Regular")</f>
        <v>High Value</v>
      </c>
      <c r="P45" s="11">
        <f>VLOOKUP(Table1[[#This Row],[Product]],Table2[],2)</f>
        <v>0.02</v>
      </c>
      <c r="Q45" s="6">
        <f>Table1[[#This Row],[TotalSales]]*Table1[[#This Row],[CommissionRate]]</f>
        <v>153.29600000000002</v>
      </c>
    </row>
    <row r="46" spans="1:17" x14ac:dyDescent="0.25">
      <c r="A46" t="s">
        <v>54</v>
      </c>
      <c r="B46" t="str">
        <f>TEXT(Table1[[#This Row],[ExactDate]],"mmm-yyyy")</f>
        <v>Feb-2025</v>
      </c>
      <c r="C46" s="5">
        <v>45702</v>
      </c>
      <c r="D46" t="s">
        <v>190</v>
      </c>
      <c r="E46" s="4" t="s">
        <v>195</v>
      </c>
      <c r="F46" t="s">
        <v>179</v>
      </c>
      <c r="G46" t="s">
        <v>181</v>
      </c>
      <c r="H46" t="s">
        <v>184</v>
      </c>
      <c r="I46">
        <v>4</v>
      </c>
      <c r="J46" s="6">
        <v>437.38</v>
      </c>
      <c r="K46" t="s">
        <v>187</v>
      </c>
      <c r="L46" s="6">
        <f>Table1[[#This Row],[Quantity]]*Table1[[#This Row],[UnitPrice]]</f>
        <v>1749.52</v>
      </c>
      <c r="M46" s="7">
        <f>IF(Table1[[#This Row],[Quantity]]&gt;5,5%*Table1[[#This Row],[TotalSales]],0)</f>
        <v>0</v>
      </c>
      <c r="N46" s="6">
        <f>Table1[[#This Row],[TotalSales]]-Table1[[#This Row],[Discount]]</f>
        <v>1749.52</v>
      </c>
      <c r="O46" s="10" t="str">
        <f>IF(Table1[[#This Row],[TotalSales]]&gt;3000,"High Value","Regular")</f>
        <v>Regular</v>
      </c>
      <c r="P46" s="11">
        <f>VLOOKUP(Table1[[#This Row],[Product]],Table2[],2)</f>
        <v>0.03</v>
      </c>
      <c r="Q46" s="6">
        <f>Table1[[#This Row],[TotalSales]]*Table1[[#This Row],[CommissionRate]]</f>
        <v>52.485599999999998</v>
      </c>
    </row>
    <row r="47" spans="1:17" x14ac:dyDescent="0.25">
      <c r="A47" t="s">
        <v>55</v>
      </c>
      <c r="B47" t="str">
        <f>TEXT(Table1[[#This Row],[ExactDate]],"mmm-yyyy")</f>
        <v>Feb-2025</v>
      </c>
      <c r="C47" s="5">
        <v>45703</v>
      </c>
      <c r="D47" t="s">
        <v>210</v>
      </c>
      <c r="E47" s="4" t="s">
        <v>199</v>
      </c>
      <c r="F47" t="s">
        <v>176</v>
      </c>
      <c r="G47" t="s">
        <v>182</v>
      </c>
      <c r="H47" t="s">
        <v>183</v>
      </c>
      <c r="I47">
        <v>1</v>
      </c>
      <c r="J47" s="6">
        <v>740.96</v>
      </c>
      <c r="K47" t="s">
        <v>189</v>
      </c>
      <c r="L47" s="6">
        <f>Table1[[#This Row],[Quantity]]*Table1[[#This Row],[UnitPrice]]</f>
        <v>740.96</v>
      </c>
      <c r="M47" s="7">
        <f>IF(Table1[[#This Row],[Quantity]]&gt;5,5%*Table1[[#This Row],[TotalSales]],0)</f>
        <v>0</v>
      </c>
      <c r="N47" s="6">
        <f>Table1[[#This Row],[TotalSales]]-Table1[[#This Row],[Discount]]</f>
        <v>740.96</v>
      </c>
      <c r="O47" s="10" t="str">
        <f>IF(Table1[[#This Row],[TotalSales]]&gt;3000,"High Value","Regular")</f>
        <v>Regular</v>
      </c>
      <c r="P47" s="11">
        <f>VLOOKUP(Table1[[#This Row],[Product]],Table2[],2)</f>
        <v>0.05</v>
      </c>
      <c r="Q47" s="6">
        <f>Table1[[#This Row],[TotalSales]]*Table1[[#This Row],[CommissionRate]]</f>
        <v>37.048000000000002</v>
      </c>
    </row>
    <row r="48" spans="1:17" x14ac:dyDescent="0.25">
      <c r="A48" t="s">
        <v>56</v>
      </c>
      <c r="B48" t="str">
        <f>TEXT(Table1[[#This Row],[ExactDate]],"mmm-yyyy")</f>
        <v>Feb-2025</v>
      </c>
      <c r="C48" s="5">
        <v>45704</v>
      </c>
      <c r="D48" t="s">
        <v>196</v>
      </c>
      <c r="E48" s="4" t="s">
        <v>202</v>
      </c>
      <c r="F48" t="s">
        <v>176</v>
      </c>
      <c r="G48" t="s">
        <v>182</v>
      </c>
      <c r="H48" t="s">
        <v>185</v>
      </c>
      <c r="I48">
        <v>9</v>
      </c>
      <c r="J48" s="6">
        <v>149.72999999999999</v>
      </c>
      <c r="K48" t="s">
        <v>189</v>
      </c>
      <c r="L48" s="6">
        <f>Table1[[#This Row],[Quantity]]*Table1[[#This Row],[UnitPrice]]</f>
        <v>1347.57</v>
      </c>
      <c r="M48" s="7">
        <f>IF(Table1[[#This Row],[Quantity]]&gt;5,5%*Table1[[#This Row],[TotalSales]],0)</f>
        <v>67.378500000000003</v>
      </c>
      <c r="N48" s="6">
        <f>Table1[[#This Row],[TotalSales]]-Table1[[#This Row],[Discount]]</f>
        <v>1280.1914999999999</v>
      </c>
      <c r="O48" s="10" t="str">
        <f>IF(Table1[[#This Row],[TotalSales]]&gt;3000,"High Value","Regular")</f>
        <v>Regular</v>
      </c>
      <c r="P48" s="11">
        <f>VLOOKUP(Table1[[#This Row],[Product]],Table2[],2)</f>
        <v>0.05</v>
      </c>
      <c r="Q48" s="6">
        <f>Table1[[#This Row],[TotalSales]]*Table1[[#This Row],[CommissionRate]]</f>
        <v>67.378500000000003</v>
      </c>
    </row>
    <row r="49" spans="1:17" x14ac:dyDescent="0.25">
      <c r="A49" t="s">
        <v>57</v>
      </c>
      <c r="B49" t="str">
        <f>TEXT(Table1[[#This Row],[ExactDate]],"mmm-yyyy")</f>
        <v>Feb-2025</v>
      </c>
      <c r="C49" s="5">
        <v>45705</v>
      </c>
      <c r="D49" t="s">
        <v>196</v>
      </c>
      <c r="E49" s="4" t="s">
        <v>205</v>
      </c>
      <c r="F49" t="s">
        <v>178</v>
      </c>
      <c r="G49" t="s">
        <v>181</v>
      </c>
      <c r="H49" t="s">
        <v>184</v>
      </c>
      <c r="I49">
        <v>8</v>
      </c>
      <c r="J49" s="6">
        <v>206.32</v>
      </c>
      <c r="K49" t="s">
        <v>187</v>
      </c>
      <c r="L49" s="6">
        <f>Table1[[#This Row],[Quantity]]*Table1[[#This Row],[UnitPrice]]</f>
        <v>1650.56</v>
      </c>
      <c r="M49" s="7">
        <f>IF(Table1[[#This Row],[Quantity]]&gt;5,5%*Table1[[#This Row],[TotalSales]],0)</f>
        <v>82.528000000000006</v>
      </c>
      <c r="N49" s="6">
        <f>Table1[[#This Row],[TotalSales]]-Table1[[#This Row],[Discount]]</f>
        <v>1568.0319999999999</v>
      </c>
      <c r="O49" s="10" t="str">
        <f>IF(Table1[[#This Row],[TotalSales]]&gt;3000,"High Value","Regular")</f>
        <v>Regular</v>
      </c>
      <c r="P49" s="11">
        <f>VLOOKUP(Table1[[#This Row],[Product]],Table2[],2)</f>
        <v>0.02</v>
      </c>
      <c r="Q49" s="6">
        <f>Table1[[#This Row],[TotalSales]]*Table1[[#This Row],[CommissionRate]]</f>
        <v>33.011200000000002</v>
      </c>
    </row>
    <row r="50" spans="1:17" x14ac:dyDescent="0.25">
      <c r="A50" t="s">
        <v>58</v>
      </c>
      <c r="B50" t="str">
        <f>TEXT(Table1[[#This Row],[ExactDate]],"mmm-yyyy")</f>
        <v>Feb-2025</v>
      </c>
      <c r="C50" s="5">
        <v>45706</v>
      </c>
      <c r="D50" t="s">
        <v>209</v>
      </c>
      <c r="E50" s="4" t="s">
        <v>204</v>
      </c>
      <c r="F50" t="s">
        <v>171</v>
      </c>
      <c r="G50" t="s">
        <v>182</v>
      </c>
      <c r="H50" t="s">
        <v>184</v>
      </c>
      <c r="I50">
        <v>1</v>
      </c>
      <c r="J50" s="6">
        <v>725.86</v>
      </c>
      <c r="K50" t="s">
        <v>187</v>
      </c>
      <c r="L50" s="6">
        <f>Table1[[#This Row],[Quantity]]*Table1[[#This Row],[UnitPrice]]</f>
        <v>725.86</v>
      </c>
      <c r="M50" s="7">
        <f>IF(Table1[[#This Row],[Quantity]]&gt;5,5%*Table1[[#This Row],[TotalSales]],0)</f>
        <v>0</v>
      </c>
      <c r="N50" s="6">
        <f>Table1[[#This Row],[TotalSales]]-Table1[[#This Row],[Discount]]</f>
        <v>725.86</v>
      </c>
      <c r="O50" s="10" t="str">
        <f>IF(Table1[[#This Row],[TotalSales]]&gt;3000,"High Value","Regular")</f>
        <v>Regular</v>
      </c>
      <c r="P50" s="11">
        <f>VLOOKUP(Table1[[#This Row],[Product]],Table2[],2)</f>
        <v>0.05</v>
      </c>
      <c r="Q50" s="6">
        <f>Table1[[#This Row],[TotalSales]]*Table1[[#This Row],[CommissionRate]]</f>
        <v>36.292999999999999</v>
      </c>
    </row>
    <row r="51" spans="1:17" x14ac:dyDescent="0.25">
      <c r="A51" t="s">
        <v>59</v>
      </c>
      <c r="B51" t="str">
        <f>TEXT(Table1[[#This Row],[ExactDate]],"mmm-yyyy")</f>
        <v>Feb-2025</v>
      </c>
      <c r="C51" s="5">
        <v>45707</v>
      </c>
      <c r="D51" t="s">
        <v>208</v>
      </c>
      <c r="E51" s="4" t="s">
        <v>206</v>
      </c>
      <c r="F51" t="s">
        <v>177</v>
      </c>
      <c r="G51" t="s">
        <v>181</v>
      </c>
      <c r="H51" t="s">
        <v>185</v>
      </c>
      <c r="I51">
        <v>9</v>
      </c>
      <c r="J51" s="6">
        <v>437.51</v>
      </c>
      <c r="K51" t="s">
        <v>188</v>
      </c>
      <c r="L51" s="6">
        <f>Table1[[#This Row],[Quantity]]*Table1[[#This Row],[UnitPrice]]</f>
        <v>3937.59</v>
      </c>
      <c r="M51" s="7">
        <f>IF(Table1[[#This Row],[Quantity]]&gt;5,5%*Table1[[#This Row],[TotalSales]],0)</f>
        <v>196.87950000000001</v>
      </c>
      <c r="N51" s="6">
        <f>Table1[[#This Row],[TotalSales]]-Table1[[#This Row],[Discount]]</f>
        <v>3740.7105000000001</v>
      </c>
      <c r="O51" s="10" t="str">
        <f>IF(Table1[[#This Row],[TotalSales]]&gt;3000,"High Value","Regular")</f>
        <v>High Value</v>
      </c>
      <c r="P51" s="11">
        <f>VLOOKUP(Table1[[#This Row],[Product]],Table2[],2)</f>
        <v>0.02</v>
      </c>
      <c r="Q51" s="6">
        <f>Table1[[#This Row],[TotalSales]]*Table1[[#This Row],[CommissionRate]]</f>
        <v>78.751800000000003</v>
      </c>
    </row>
    <row r="52" spans="1:17" x14ac:dyDescent="0.25">
      <c r="A52" t="s">
        <v>60</v>
      </c>
      <c r="B52" t="str">
        <f>TEXT(Table1[[#This Row],[ExactDate]],"mmm-yyyy")</f>
        <v>Feb-2025</v>
      </c>
      <c r="C52" s="5">
        <v>45708</v>
      </c>
      <c r="D52" t="s">
        <v>210</v>
      </c>
      <c r="E52" s="4" t="s">
        <v>206</v>
      </c>
      <c r="F52" t="s">
        <v>175</v>
      </c>
      <c r="G52" t="s">
        <v>182</v>
      </c>
      <c r="H52" t="s">
        <v>184</v>
      </c>
      <c r="I52">
        <v>1</v>
      </c>
      <c r="J52" s="6">
        <v>522.1</v>
      </c>
      <c r="K52" t="s">
        <v>187</v>
      </c>
      <c r="L52" s="6">
        <f>Table1[[#This Row],[Quantity]]*Table1[[#This Row],[UnitPrice]]</f>
        <v>522.1</v>
      </c>
      <c r="M52" s="7">
        <f>IF(Table1[[#This Row],[Quantity]]&gt;5,5%*Table1[[#This Row],[TotalSales]],0)</f>
        <v>0</v>
      </c>
      <c r="N52" s="6">
        <f>Table1[[#This Row],[TotalSales]]-Table1[[#This Row],[Discount]]</f>
        <v>522.1</v>
      </c>
      <c r="O52" s="10" t="str">
        <f>IF(Table1[[#This Row],[TotalSales]]&gt;3000,"High Value","Regular")</f>
        <v>Regular</v>
      </c>
      <c r="P52" s="11">
        <f>VLOOKUP(Table1[[#This Row],[Product]],Table2[],2)</f>
        <v>0.04</v>
      </c>
      <c r="Q52" s="6">
        <f>Table1[[#This Row],[TotalSales]]*Table1[[#This Row],[CommissionRate]]</f>
        <v>20.884</v>
      </c>
    </row>
    <row r="53" spans="1:17" x14ac:dyDescent="0.25">
      <c r="A53" t="s">
        <v>61</v>
      </c>
      <c r="B53" t="str">
        <f>TEXT(Table1[[#This Row],[ExactDate]],"mmm-yyyy")</f>
        <v>Feb-2025</v>
      </c>
      <c r="C53" s="5">
        <v>45709</v>
      </c>
      <c r="D53" t="s">
        <v>194</v>
      </c>
      <c r="E53" s="4" t="s">
        <v>195</v>
      </c>
      <c r="F53" t="s">
        <v>174</v>
      </c>
      <c r="G53" t="s">
        <v>182</v>
      </c>
      <c r="H53" t="s">
        <v>186</v>
      </c>
      <c r="I53">
        <v>3</v>
      </c>
      <c r="J53" s="6">
        <v>271.68</v>
      </c>
      <c r="K53" t="s">
        <v>187</v>
      </c>
      <c r="L53" s="6">
        <f>Table1[[#This Row],[Quantity]]*Table1[[#This Row],[UnitPrice]]</f>
        <v>815.04</v>
      </c>
      <c r="M53" s="7">
        <f>IF(Table1[[#This Row],[Quantity]]&gt;5,5%*Table1[[#This Row],[TotalSales]],0)</f>
        <v>0</v>
      </c>
      <c r="N53" s="6">
        <f>Table1[[#This Row],[TotalSales]]-Table1[[#This Row],[Discount]]</f>
        <v>815.04</v>
      </c>
      <c r="O53" s="10" t="str">
        <f>IF(Table1[[#This Row],[TotalSales]]&gt;3000,"High Value","Regular")</f>
        <v>Regular</v>
      </c>
      <c r="P53" s="11">
        <f>VLOOKUP(Table1[[#This Row],[Product]],Table2[],2)</f>
        <v>0.04</v>
      </c>
      <c r="Q53" s="6">
        <f>Table1[[#This Row],[TotalSales]]*Table1[[#This Row],[CommissionRate]]</f>
        <v>32.601599999999998</v>
      </c>
    </row>
    <row r="54" spans="1:17" x14ac:dyDescent="0.25">
      <c r="A54" t="s">
        <v>62</v>
      </c>
      <c r="B54" t="str">
        <f>TEXT(Table1[[#This Row],[ExactDate]],"mmm-yyyy")</f>
        <v>Feb-2025</v>
      </c>
      <c r="C54" s="5">
        <v>45710</v>
      </c>
      <c r="D54" t="s">
        <v>190</v>
      </c>
      <c r="E54" s="4" t="s">
        <v>193</v>
      </c>
      <c r="F54" t="s">
        <v>177</v>
      </c>
      <c r="G54" t="s">
        <v>181</v>
      </c>
      <c r="H54" t="s">
        <v>183</v>
      </c>
      <c r="I54">
        <v>4</v>
      </c>
      <c r="J54" s="6">
        <v>382.57</v>
      </c>
      <c r="K54" t="s">
        <v>189</v>
      </c>
      <c r="L54" s="6">
        <f>Table1[[#This Row],[Quantity]]*Table1[[#This Row],[UnitPrice]]</f>
        <v>1530.28</v>
      </c>
      <c r="M54" s="7">
        <f>IF(Table1[[#This Row],[Quantity]]&gt;5,5%*Table1[[#This Row],[TotalSales]],0)</f>
        <v>0</v>
      </c>
      <c r="N54" s="6">
        <f>Table1[[#This Row],[TotalSales]]-Table1[[#This Row],[Discount]]</f>
        <v>1530.28</v>
      </c>
      <c r="O54" s="10" t="str">
        <f>IF(Table1[[#This Row],[TotalSales]]&gt;3000,"High Value","Regular")</f>
        <v>Regular</v>
      </c>
      <c r="P54" s="11">
        <f>VLOOKUP(Table1[[#This Row],[Product]],Table2[],2)</f>
        <v>0.02</v>
      </c>
      <c r="Q54" s="6">
        <f>Table1[[#This Row],[TotalSales]]*Table1[[#This Row],[CommissionRate]]</f>
        <v>30.605599999999999</v>
      </c>
    </row>
    <row r="55" spans="1:17" x14ac:dyDescent="0.25">
      <c r="A55" t="s">
        <v>63</v>
      </c>
      <c r="B55" t="str">
        <f>TEXT(Table1[[#This Row],[ExactDate]],"mmm-yyyy")</f>
        <v>Feb-2025</v>
      </c>
      <c r="C55" s="5">
        <v>45711</v>
      </c>
      <c r="D55" t="s">
        <v>210</v>
      </c>
      <c r="E55" s="4" t="s">
        <v>206</v>
      </c>
      <c r="F55" t="s">
        <v>176</v>
      </c>
      <c r="G55" t="s">
        <v>182</v>
      </c>
      <c r="H55" t="s">
        <v>185</v>
      </c>
      <c r="I55">
        <v>3</v>
      </c>
      <c r="J55" s="6">
        <v>430.86</v>
      </c>
      <c r="K55" t="s">
        <v>189</v>
      </c>
      <c r="L55" s="6">
        <f>Table1[[#This Row],[Quantity]]*Table1[[#This Row],[UnitPrice]]</f>
        <v>1292.58</v>
      </c>
      <c r="M55" s="7">
        <f>IF(Table1[[#This Row],[Quantity]]&gt;5,5%*Table1[[#This Row],[TotalSales]],0)</f>
        <v>0</v>
      </c>
      <c r="N55" s="6">
        <f>Table1[[#This Row],[TotalSales]]-Table1[[#This Row],[Discount]]</f>
        <v>1292.58</v>
      </c>
      <c r="O55" s="10" t="str">
        <f>IF(Table1[[#This Row],[TotalSales]]&gt;3000,"High Value","Regular")</f>
        <v>Regular</v>
      </c>
      <c r="P55" s="11">
        <f>VLOOKUP(Table1[[#This Row],[Product]],Table2[],2)</f>
        <v>0.05</v>
      </c>
      <c r="Q55" s="6">
        <f>Table1[[#This Row],[TotalSales]]*Table1[[#This Row],[CommissionRate]]</f>
        <v>64.629000000000005</v>
      </c>
    </row>
    <row r="56" spans="1:17" x14ac:dyDescent="0.25">
      <c r="A56" t="s">
        <v>64</v>
      </c>
      <c r="B56" t="str">
        <f>TEXT(Table1[[#This Row],[ExactDate]],"mmm-yyyy")</f>
        <v>Feb-2025</v>
      </c>
      <c r="C56" s="5">
        <v>45712</v>
      </c>
      <c r="D56" t="s">
        <v>196</v>
      </c>
      <c r="E56" s="4" t="s">
        <v>199</v>
      </c>
      <c r="F56" t="s">
        <v>173</v>
      </c>
      <c r="G56" t="s">
        <v>182</v>
      </c>
      <c r="H56" t="s">
        <v>183</v>
      </c>
      <c r="I56">
        <v>5</v>
      </c>
      <c r="J56" s="6">
        <v>947.85</v>
      </c>
      <c r="K56" t="s">
        <v>188</v>
      </c>
      <c r="L56" s="6">
        <f>Table1[[#This Row],[Quantity]]*Table1[[#This Row],[UnitPrice]]</f>
        <v>4739.25</v>
      </c>
      <c r="M56" s="7">
        <f>IF(Table1[[#This Row],[Quantity]]&gt;5,5%*Table1[[#This Row],[TotalSales]],0)</f>
        <v>0</v>
      </c>
      <c r="N56" s="6">
        <f>Table1[[#This Row],[TotalSales]]-Table1[[#This Row],[Discount]]</f>
        <v>4739.25</v>
      </c>
      <c r="O56" s="10" t="str">
        <f>IF(Table1[[#This Row],[TotalSales]]&gt;3000,"High Value","Regular")</f>
        <v>High Value</v>
      </c>
      <c r="P56" s="11">
        <f>VLOOKUP(Table1[[#This Row],[Product]],Table2[],2)</f>
        <v>0.05</v>
      </c>
      <c r="Q56" s="6">
        <f>Table1[[#This Row],[TotalSales]]*Table1[[#This Row],[CommissionRate]]</f>
        <v>236.96250000000001</v>
      </c>
    </row>
    <row r="57" spans="1:17" x14ac:dyDescent="0.25">
      <c r="A57" t="s">
        <v>65</v>
      </c>
      <c r="B57" t="str">
        <f>TEXT(Table1[[#This Row],[ExactDate]],"mmm-yyyy")</f>
        <v>Feb-2025</v>
      </c>
      <c r="C57" s="5">
        <v>45713</v>
      </c>
      <c r="D57" t="s">
        <v>190</v>
      </c>
      <c r="E57" s="4" t="s">
        <v>195</v>
      </c>
      <c r="F57" t="s">
        <v>179</v>
      </c>
      <c r="G57" t="s">
        <v>181</v>
      </c>
      <c r="H57" t="s">
        <v>184</v>
      </c>
      <c r="I57">
        <v>3</v>
      </c>
      <c r="J57" s="6">
        <v>299.33</v>
      </c>
      <c r="K57" t="s">
        <v>189</v>
      </c>
      <c r="L57" s="6">
        <f>Table1[[#This Row],[Quantity]]*Table1[[#This Row],[UnitPrice]]</f>
        <v>897.99</v>
      </c>
      <c r="M57" s="7">
        <f>IF(Table1[[#This Row],[Quantity]]&gt;5,5%*Table1[[#This Row],[TotalSales]],0)</f>
        <v>0</v>
      </c>
      <c r="N57" s="6">
        <f>Table1[[#This Row],[TotalSales]]-Table1[[#This Row],[Discount]]</f>
        <v>897.99</v>
      </c>
      <c r="O57" s="10" t="str">
        <f>IF(Table1[[#This Row],[TotalSales]]&gt;3000,"High Value","Regular")</f>
        <v>Regular</v>
      </c>
      <c r="P57" s="11">
        <f>VLOOKUP(Table1[[#This Row],[Product]],Table2[],2)</f>
        <v>0.03</v>
      </c>
      <c r="Q57" s="6">
        <f>Table1[[#This Row],[TotalSales]]*Table1[[#This Row],[CommissionRate]]</f>
        <v>26.939699999999998</v>
      </c>
    </row>
    <row r="58" spans="1:17" x14ac:dyDescent="0.25">
      <c r="A58" t="s">
        <v>66</v>
      </c>
      <c r="B58" t="str">
        <f>TEXT(Table1[[#This Row],[ExactDate]],"mmm-yyyy")</f>
        <v>Feb-2025</v>
      </c>
      <c r="C58" s="5">
        <v>45714</v>
      </c>
      <c r="D58" t="s">
        <v>194</v>
      </c>
      <c r="E58" s="4" t="s">
        <v>197</v>
      </c>
      <c r="F58" t="s">
        <v>176</v>
      </c>
      <c r="G58" t="s">
        <v>182</v>
      </c>
      <c r="H58" t="s">
        <v>184</v>
      </c>
      <c r="I58">
        <v>4</v>
      </c>
      <c r="J58" s="6">
        <v>229.99</v>
      </c>
      <c r="K58" t="s">
        <v>187</v>
      </c>
      <c r="L58" s="6">
        <f>Table1[[#This Row],[Quantity]]*Table1[[#This Row],[UnitPrice]]</f>
        <v>919.96</v>
      </c>
      <c r="M58" s="7">
        <f>IF(Table1[[#This Row],[Quantity]]&gt;5,5%*Table1[[#This Row],[TotalSales]],0)</f>
        <v>0</v>
      </c>
      <c r="N58" s="6">
        <f>Table1[[#This Row],[TotalSales]]-Table1[[#This Row],[Discount]]</f>
        <v>919.96</v>
      </c>
      <c r="O58" s="10" t="str">
        <f>IF(Table1[[#This Row],[TotalSales]]&gt;3000,"High Value","Regular")</f>
        <v>Regular</v>
      </c>
      <c r="P58" s="11">
        <f>VLOOKUP(Table1[[#This Row],[Product]],Table2[],2)</f>
        <v>0.05</v>
      </c>
      <c r="Q58" s="6">
        <f>Table1[[#This Row],[TotalSales]]*Table1[[#This Row],[CommissionRate]]</f>
        <v>45.998000000000005</v>
      </c>
    </row>
    <row r="59" spans="1:17" x14ac:dyDescent="0.25">
      <c r="A59" t="s">
        <v>67</v>
      </c>
      <c r="B59" t="str">
        <f>TEXT(Table1[[#This Row],[ExactDate]],"mmm-yyyy")</f>
        <v>Feb-2025</v>
      </c>
      <c r="C59" s="5">
        <v>45715</v>
      </c>
      <c r="D59" t="s">
        <v>210</v>
      </c>
      <c r="E59" s="4" t="s">
        <v>195</v>
      </c>
      <c r="F59" t="s">
        <v>173</v>
      </c>
      <c r="G59" t="s">
        <v>182</v>
      </c>
      <c r="H59" t="s">
        <v>184</v>
      </c>
      <c r="I59">
        <v>4</v>
      </c>
      <c r="J59" s="6">
        <v>363.6</v>
      </c>
      <c r="K59" t="s">
        <v>188</v>
      </c>
      <c r="L59" s="6">
        <f>Table1[[#This Row],[Quantity]]*Table1[[#This Row],[UnitPrice]]</f>
        <v>1454.4</v>
      </c>
      <c r="M59" s="7">
        <f>IF(Table1[[#This Row],[Quantity]]&gt;5,5%*Table1[[#This Row],[TotalSales]],0)</f>
        <v>0</v>
      </c>
      <c r="N59" s="6">
        <f>Table1[[#This Row],[TotalSales]]-Table1[[#This Row],[Discount]]</f>
        <v>1454.4</v>
      </c>
      <c r="O59" s="10" t="str">
        <f>IF(Table1[[#This Row],[TotalSales]]&gt;3000,"High Value","Regular")</f>
        <v>Regular</v>
      </c>
      <c r="P59" s="11">
        <f>VLOOKUP(Table1[[#This Row],[Product]],Table2[],2)</f>
        <v>0.05</v>
      </c>
      <c r="Q59" s="6">
        <f>Table1[[#This Row],[TotalSales]]*Table1[[#This Row],[CommissionRate]]</f>
        <v>72.720000000000013</v>
      </c>
    </row>
    <row r="60" spans="1:17" x14ac:dyDescent="0.25">
      <c r="A60" t="s">
        <v>68</v>
      </c>
      <c r="B60" t="str">
        <f>TEXT(Table1[[#This Row],[ExactDate]],"mmm-yyyy")</f>
        <v>Feb-2025</v>
      </c>
      <c r="C60" s="5">
        <v>45716</v>
      </c>
      <c r="D60" t="s">
        <v>194</v>
      </c>
      <c r="E60" s="4" t="s">
        <v>205</v>
      </c>
      <c r="F60" t="s">
        <v>179</v>
      </c>
      <c r="G60" t="s">
        <v>181</v>
      </c>
      <c r="H60" t="s">
        <v>185</v>
      </c>
      <c r="I60">
        <v>9</v>
      </c>
      <c r="J60" s="6">
        <v>114.65</v>
      </c>
      <c r="K60" t="s">
        <v>188</v>
      </c>
      <c r="L60" s="6">
        <f>Table1[[#This Row],[Quantity]]*Table1[[#This Row],[UnitPrice]]</f>
        <v>1031.8500000000001</v>
      </c>
      <c r="M60" s="7">
        <f>IF(Table1[[#This Row],[Quantity]]&gt;5,5%*Table1[[#This Row],[TotalSales]],0)</f>
        <v>51.592500000000008</v>
      </c>
      <c r="N60" s="6">
        <f>Table1[[#This Row],[TotalSales]]-Table1[[#This Row],[Discount]]</f>
        <v>980.25750000000016</v>
      </c>
      <c r="O60" s="10" t="str">
        <f>IF(Table1[[#This Row],[TotalSales]]&gt;3000,"High Value","Regular")</f>
        <v>Regular</v>
      </c>
      <c r="P60" s="11">
        <f>VLOOKUP(Table1[[#This Row],[Product]],Table2[],2)</f>
        <v>0.03</v>
      </c>
      <c r="Q60" s="6">
        <f>Table1[[#This Row],[TotalSales]]*Table1[[#This Row],[CommissionRate]]</f>
        <v>30.955500000000004</v>
      </c>
    </row>
    <row r="61" spans="1:17" x14ac:dyDescent="0.25">
      <c r="A61" t="s">
        <v>69</v>
      </c>
      <c r="B61" t="str">
        <f>TEXT(Table1[[#This Row],[ExactDate]],"mmm-yyyy")</f>
        <v>Mar-2025</v>
      </c>
      <c r="C61" s="5">
        <v>45717</v>
      </c>
      <c r="D61" t="s">
        <v>192</v>
      </c>
      <c r="E61" s="4" t="s">
        <v>199</v>
      </c>
      <c r="F61" t="s">
        <v>179</v>
      </c>
      <c r="G61" t="s">
        <v>181</v>
      </c>
      <c r="H61" t="s">
        <v>184</v>
      </c>
      <c r="I61">
        <v>7</v>
      </c>
      <c r="J61" s="6">
        <v>684.07</v>
      </c>
      <c r="K61" t="s">
        <v>189</v>
      </c>
      <c r="L61" s="6">
        <f>Table1[[#This Row],[Quantity]]*Table1[[#This Row],[UnitPrice]]</f>
        <v>4788.4900000000007</v>
      </c>
      <c r="M61" s="7">
        <f>IF(Table1[[#This Row],[Quantity]]&gt;5,5%*Table1[[#This Row],[TotalSales]],0)</f>
        <v>239.42450000000005</v>
      </c>
      <c r="N61" s="6">
        <f>Table1[[#This Row],[TotalSales]]-Table1[[#This Row],[Discount]]</f>
        <v>4549.0655000000006</v>
      </c>
      <c r="O61" s="10" t="str">
        <f>IF(Table1[[#This Row],[TotalSales]]&gt;3000,"High Value","Regular")</f>
        <v>High Value</v>
      </c>
      <c r="P61" s="11">
        <f>VLOOKUP(Table1[[#This Row],[Product]],Table2[],2)</f>
        <v>0.03</v>
      </c>
      <c r="Q61" s="6">
        <f>Table1[[#This Row],[TotalSales]]*Table1[[#This Row],[CommissionRate]]</f>
        <v>143.65470000000002</v>
      </c>
    </row>
    <row r="62" spans="1:17" x14ac:dyDescent="0.25">
      <c r="A62" t="s">
        <v>70</v>
      </c>
      <c r="B62" t="str">
        <f>TEXT(Table1[[#This Row],[ExactDate]],"mmm-yyyy")</f>
        <v>Mar-2025</v>
      </c>
      <c r="C62" s="5">
        <v>45718</v>
      </c>
      <c r="D62" t="s">
        <v>200</v>
      </c>
      <c r="E62" s="4" t="s">
        <v>201</v>
      </c>
      <c r="F62" t="s">
        <v>178</v>
      </c>
      <c r="G62" t="s">
        <v>181</v>
      </c>
      <c r="H62" t="s">
        <v>185</v>
      </c>
      <c r="I62">
        <v>7</v>
      </c>
      <c r="J62" s="6">
        <v>255.82</v>
      </c>
      <c r="K62" t="s">
        <v>188</v>
      </c>
      <c r="L62" s="6">
        <f>Table1[[#This Row],[Quantity]]*Table1[[#This Row],[UnitPrice]]</f>
        <v>1790.74</v>
      </c>
      <c r="M62" s="7">
        <f>IF(Table1[[#This Row],[Quantity]]&gt;5,5%*Table1[[#This Row],[TotalSales]],0)</f>
        <v>89.537000000000006</v>
      </c>
      <c r="N62" s="6">
        <f>Table1[[#This Row],[TotalSales]]-Table1[[#This Row],[Discount]]</f>
        <v>1701.203</v>
      </c>
      <c r="O62" s="10" t="str">
        <f>IF(Table1[[#This Row],[TotalSales]]&gt;3000,"High Value","Regular")</f>
        <v>Regular</v>
      </c>
      <c r="P62" s="11">
        <f>VLOOKUP(Table1[[#This Row],[Product]],Table2[],2)</f>
        <v>0.02</v>
      </c>
      <c r="Q62" s="6">
        <f>Table1[[#This Row],[TotalSales]]*Table1[[#This Row],[CommissionRate]]</f>
        <v>35.814799999999998</v>
      </c>
    </row>
    <row r="63" spans="1:17" x14ac:dyDescent="0.25">
      <c r="A63" t="s">
        <v>71</v>
      </c>
      <c r="B63" t="str">
        <f>TEXT(Table1[[#This Row],[ExactDate]],"mmm-yyyy")</f>
        <v>Mar-2025</v>
      </c>
      <c r="C63" s="5">
        <v>45719</v>
      </c>
      <c r="D63" t="s">
        <v>208</v>
      </c>
      <c r="E63" s="4" t="s">
        <v>204</v>
      </c>
      <c r="F63" t="s">
        <v>175</v>
      </c>
      <c r="G63" t="s">
        <v>182</v>
      </c>
      <c r="H63" t="s">
        <v>183</v>
      </c>
      <c r="I63">
        <v>4</v>
      </c>
      <c r="J63" s="6">
        <v>946.84</v>
      </c>
      <c r="K63" t="s">
        <v>187</v>
      </c>
      <c r="L63" s="6">
        <f>Table1[[#This Row],[Quantity]]*Table1[[#This Row],[UnitPrice]]</f>
        <v>3787.36</v>
      </c>
      <c r="M63" s="7">
        <f>IF(Table1[[#This Row],[Quantity]]&gt;5,5%*Table1[[#This Row],[TotalSales]],0)</f>
        <v>0</v>
      </c>
      <c r="N63" s="6">
        <f>Table1[[#This Row],[TotalSales]]-Table1[[#This Row],[Discount]]</f>
        <v>3787.36</v>
      </c>
      <c r="O63" s="10" t="str">
        <f>IF(Table1[[#This Row],[TotalSales]]&gt;3000,"High Value","Regular")</f>
        <v>High Value</v>
      </c>
      <c r="P63" s="11">
        <f>VLOOKUP(Table1[[#This Row],[Product]],Table2[],2)</f>
        <v>0.04</v>
      </c>
      <c r="Q63" s="6">
        <f>Table1[[#This Row],[TotalSales]]*Table1[[#This Row],[CommissionRate]]</f>
        <v>151.49440000000001</v>
      </c>
    </row>
    <row r="64" spans="1:17" x14ac:dyDescent="0.25">
      <c r="A64" t="s">
        <v>72</v>
      </c>
      <c r="B64" t="str">
        <f>TEXT(Table1[[#This Row],[ExactDate]],"mmm-yyyy")</f>
        <v>Mar-2025</v>
      </c>
      <c r="C64" s="5">
        <v>45720</v>
      </c>
      <c r="D64" t="s">
        <v>192</v>
      </c>
      <c r="E64" s="4" t="s">
        <v>193</v>
      </c>
      <c r="F64" t="s">
        <v>179</v>
      </c>
      <c r="G64" t="s">
        <v>181</v>
      </c>
      <c r="H64" t="s">
        <v>184</v>
      </c>
      <c r="I64">
        <v>3</v>
      </c>
      <c r="J64" s="6">
        <v>734.36</v>
      </c>
      <c r="K64" t="s">
        <v>188</v>
      </c>
      <c r="L64" s="6">
        <f>Table1[[#This Row],[Quantity]]*Table1[[#This Row],[UnitPrice]]</f>
        <v>2203.08</v>
      </c>
      <c r="M64" s="7">
        <f>IF(Table1[[#This Row],[Quantity]]&gt;5,5%*Table1[[#This Row],[TotalSales]],0)</f>
        <v>0</v>
      </c>
      <c r="N64" s="6">
        <f>Table1[[#This Row],[TotalSales]]-Table1[[#This Row],[Discount]]</f>
        <v>2203.08</v>
      </c>
      <c r="O64" s="10" t="str">
        <f>IF(Table1[[#This Row],[TotalSales]]&gt;3000,"High Value","Regular")</f>
        <v>Regular</v>
      </c>
      <c r="P64" s="11">
        <f>VLOOKUP(Table1[[#This Row],[Product]],Table2[],2)</f>
        <v>0.03</v>
      </c>
      <c r="Q64" s="6">
        <f>Table1[[#This Row],[TotalSales]]*Table1[[#This Row],[CommissionRate]]</f>
        <v>66.092399999999998</v>
      </c>
    </row>
    <row r="65" spans="1:17" x14ac:dyDescent="0.25">
      <c r="A65" t="s">
        <v>73</v>
      </c>
      <c r="B65" t="str">
        <f>TEXT(Table1[[#This Row],[ExactDate]],"mmm-yyyy")</f>
        <v>Mar-2025</v>
      </c>
      <c r="C65" s="5">
        <v>45721</v>
      </c>
      <c r="D65" t="s">
        <v>198</v>
      </c>
      <c r="E65" s="4" t="s">
        <v>193</v>
      </c>
      <c r="F65" t="s">
        <v>178</v>
      </c>
      <c r="G65" t="s">
        <v>181</v>
      </c>
      <c r="H65" t="s">
        <v>185</v>
      </c>
      <c r="I65">
        <v>9</v>
      </c>
      <c r="J65" s="6">
        <v>308.07</v>
      </c>
      <c r="K65" t="s">
        <v>189</v>
      </c>
      <c r="L65" s="6">
        <f>Table1[[#This Row],[Quantity]]*Table1[[#This Row],[UnitPrice]]</f>
        <v>2772.63</v>
      </c>
      <c r="M65" s="7">
        <f>IF(Table1[[#This Row],[Quantity]]&gt;5,5%*Table1[[#This Row],[TotalSales]],0)</f>
        <v>138.63150000000002</v>
      </c>
      <c r="N65" s="6">
        <f>Table1[[#This Row],[TotalSales]]-Table1[[#This Row],[Discount]]</f>
        <v>2633.9985000000001</v>
      </c>
      <c r="O65" s="10" t="str">
        <f>IF(Table1[[#This Row],[TotalSales]]&gt;3000,"High Value","Regular")</f>
        <v>Regular</v>
      </c>
      <c r="P65" s="11">
        <f>VLOOKUP(Table1[[#This Row],[Product]],Table2[],2)</f>
        <v>0.02</v>
      </c>
      <c r="Q65" s="6">
        <f>Table1[[#This Row],[TotalSales]]*Table1[[#This Row],[CommissionRate]]</f>
        <v>55.452600000000004</v>
      </c>
    </row>
    <row r="66" spans="1:17" x14ac:dyDescent="0.25">
      <c r="A66" t="s">
        <v>74</v>
      </c>
      <c r="B66" t="str">
        <f>TEXT(Table1[[#This Row],[ExactDate]],"mmm-yyyy")</f>
        <v>Mar-2025</v>
      </c>
      <c r="C66" s="5">
        <v>45722</v>
      </c>
      <c r="D66" t="s">
        <v>192</v>
      </c>
      <c r="E66" s="4" t="s">
        <v>203</v>
      </c>
      <c r="F66" t="s">
        <v>171</v>
      </c>
      <c r="G66" t="s">
        <v>182</v>
      </c>
      <c r="H66" t="s">
        <v>186</v>
      </c>
      <c r="I66">
        <v>7</v>
      </c>
      <c r="J66" s="6">
        <v>84.67</v>
      </c>
      <c r="K66" t="s">
        <v>187</v>
      </c>
      <c r="L66" s="6">
        <f>Table1[[#This Row],[Quantity]]*Table1[[#This Row],[UnitPrice]]</f>
        <v>592.69000000000005</v>
      </c>
      <c r="M66" s="7">
        <f>IF(Table1[[#This Row],[Quantity]]&gt;5,5%*Table1[[#This Row],[TotalSales]],0)</f>
        <v>29.634500000000003</v>
      </c>
      <c r="N66" s="6">
        <f>Table1[[#This Row],[TotalSales]]-Table1[[#This Row],[Discount]]</f>
        <v>563.05550000000005</v>
      </c>
      <c r="O66" s="10" t="str">
        <f>IF(Table1[[#This Row],[TotalSales]]&gt;3000,"High Value","Regular")</f>
        <v>Regular</v>
      </c>
      <c r="P66" s="11">
        <f>VLOOKUP(Table1[[#This Row],[Product]],Table2[],2)</f>
        <v>0.05</v>
      </c>
      <c r="Q66" s="6">
        <f>Table1[[#This Row],[TotalSales]]*Table1[[#This Row],[CommissionRate]]</f>
        <v>29.634500000000003</v>
      </c>
    </row>
    <row r="67" spans="1:17" x14ac:dyDescent="0.25">
      <c r="A67" t="s">
        <v>75</v>
      </c>
      <c r="B67" t="str">
        <f>TEXT(Table1[[#This Row],[ExactDate]],"mmm-yyyy")</f>
        <v>Mar-2025</v>
      </c>
      <c r="C67" s="5">
        <v>45723</v>
      </c>
      <c r="D67" t="s">
        <v>210</v>
      </c>
      <c r="E67" s="4" t="s">
        <v>203</v>
      </c>
      <c r="F67" t="s">
        <v>178</v>
      </c>
      <c r="G67" t="s">
        <v>181</v>
      </c>
      <c r="H67" t="s">
        <v>186</v>
      </c>
      <c r="I67">
        <v>6</v>
      </c>
      <c r="J67" s="6">
        <v>58.25</v>
      </c>
      <c r="K67" t="s">
        <v>187</v>
      </c>
      <c r="L67" s="6">
        <f>Table1[[#This Row],[Quantity]]*Table1[[#This Row],[UnitPrice]]</f>
        <v>349.5</v>
      </c>
      <c r="M67" s="7">
        <f>IF(Table1[[#This Row],[Quantity]]&gt;5,5%*Table1[[#This Row],[TotalSales]],0)</f>
        <v>17.475000000000001</v>
      </c>
      <c r="N67" s="6">
        <f>Table1[[#This Row],[TotalSales]]-Table1[[#This Row],[Discount]]</f>
        <v>332.02499999999998</v>
      </c>
      <c r="O67" s="10" t="str">
        <f>IF(Table1[[#This Row],[TotalSales]]&gt;3000,"High Value","Regular")</f>
        <v>Regular</v>
      </c>
      <c r="P67" s="11">
        <f>VLOOKUP(Table1[[#This Row],[Product]],Table2[],2)</f>
        <v>0.02</v>
      </c>
      <c r="Q67" s="6">
        <f>Table1[[#This Row],[TotalSales]]*Table1[[#This Row],[CommissionRate]]</f>
        <v>6.99</v>
      </c>
    </row>
    <row r="68" spans="1:17" x14ac:dyDescent="0.25">
      <c r="A68" t="s">
        <v>76</v>
      </c>
      <c r="B68" t="str">
        <f>TEXT(Table1[[#This Row],[ExactDate]],"mmm-yyyy")</f>
        <v>Mar-2025</v>
      </c>
      <c r="C68" s="5">
        <v>45724</v>
      </c>
      <c r="D68" t="s">
        <v>207</v>
      </c>
      <c r="E68" s="4" t="s">
        <v>195</v>
      </c>
      <c r="F68" t="s">
        <v>171</v>
      </c>
      <c r="G68" t="s">
        <v>182</v>
      </c>
      <c r="H68" t="s">
        <v>184</v>
      </c>
      <c r="I68">
        <v>4</v>
      </c>
      <c r="J68" s="6">
        <v>759.55</v>
      </c>
      <c r="K68" t="s">
        <v>189</v>
      </c>
      <c r="L68" s="6">
        <f>Table1[[#This Row],[Quantity]]*Table1[[#This Row],[UnitPrice]]</f>
        <v>3038.2</v>
      </c>
      <c r="M68" s="7">
        <f>IF(Table1[[#This Row],[Quantity]]&gt;5,5%*Table1[[#This Row],[TotalSales]],0)</f>
        <v>0</v>
      </c>
      <c r="N68" s="6">
        <f>Table1[[#This Row],[TotalSales]]-Table1[[#This Row],[Discount]]</f>
        <v>3038.2</v>
      </c>
      <c r="O68" s="10" t="str">
        <f>IF(Table1[[#This Row],[TotalSales]]&gt;3000,"High Value","Regular")</f>
        <v>High Value</v>
      </c>
      <c r="P68" s="11">
        <f>VLOOKUP(Table1[[#This Row],[Product]],Table2[],2)</f>
        <v>0.05</v>
      </c>
      <c r="Q68" s="6">
        <f>Table1[[#This Row],[TotalSales]]*Table1[[#This Row],[CommissionRate]]</f>
        <v>151.91</v>
      </c>
    </row>
    <row r="69" spans="1:17" x14ac:dyDescent="0.25">
      <c r="A69" t="s">
        <v>77</v>
      </c>
      <c r="B69" t="str">
        <f>TEXT(Table1[[#This Row],[ExactDate]],"mmm-yyyy")</f>
        <v>Mar-2025</v>
      </c>
      <c r="C69" s="5">
        <v>45725</v>
      </c>
      <c r="D69" t="s">
        <v>196</v>
      </c>
      <c r="E69" s="4" t="s">
        <v>204</v>
      </c>
      <c r="F69" t="s">
        <v>177</v>
      </c>
      <c r="G69" t="s">
        <v>181</v>
      </c>
      <c r="H69" t="s">
        <v>185</v>
      </c>
      <c r="I69">
        <v>7</v>
      </c>
      <c r="J69" s="6">
        <v>635.32000000000005</v>
      </c>
      <c r="K69" t="s">
        <v>188</v>
      </c>
      <c r="L69" s="6">
        <f>Table1[[#This Row],[Quantity]]*Table1[[#This Row],[UnitPrice]]</f>
        <v>4447.2400000000007</v>
      </c>
      <c r="M69" s="7">
        <f>IF(Table1[[#This Row],[Quantity]]&gt;5,5%*Table1[[#This Row],[TotalSales]],0)</f>
        <v>222.36200000000005</v>
      </c>
      <c r="N69" s="6">
        <f>Table1[[#This Row],[TotalSales]]-Table1[[#This Row],[Discount]]</f>
        <v>4224.8780000000006</v>
      </c>
      <c r="O69" s="10" t="str">
        <f>IF(Table1[[#This Row],[TotalSales]]&gt;3000,"High Value","Regular")</f>
        <v>High Value</v>
      </c>
      <c r="P69" s="11">
        <f>VLOOKUP(Table1[[#This Row],[Product]],Table2[],2)</f>
        <v>0.02</v>
      </c>
      <c r="Q69" s="6">
        <f>Table1[[#This Row],[TotalSales]]*Table1[[#This Row],[CommissionRate]]</f>
        <v>88.944800000000015</v>
      </c>
    </row>
    <row r="70" spans="1:17" x14ac:dyDescent="0.25">
      <c r="A70" t="s">
        <v>78</v>
      </c>
      <c r="B70" t="str">
        <f>TEXT(Table1[[#This Row],[ExactDate]],"mmm-yyyy")</f>
        <v>Mar-2025</v>
      </c>
      <c r="C70" s="5">
        <v>45726</v>
      </c>
      <c r="D70" t="s">
        <v>208</v>
      </c>
      <c r="E70" s="4" t="s">
        <v>191</v>
      </c>
      <c r="F70" t="s">
        <v>179</v>
      </c>
      <c r="G70" t="s">
        <v>181</v>
      </c>
      <c r="H70" t="s">
        <v>186</v>
      </c>
      <c r="I70">
        <v>2</v>
      </c>
      <c r="J70" s="6">
        <v>450.66</v>
      </c>
      <c r="K70" t="s">
        <v>187</v>
      </c>
      <c r="L70" s="6">
        <f>Table1[[#This Row],[Quantity]]*Table1[[#This Row],[UnitPrice]]</f>
        <v>901.32</v>
      </c>
      <c r="M70" s="7">
        <f>IF(Table1[[#This Row],[Quantity]]&gt;5,5%*Table1[[#This Row],[TotalSales]],0)</f>
        <v>0</v>
      </c>
      <c r="N70" s="6">
        <f>Table1[[#This Row],[TotalSales]]-Table1[[#This Row],[Discount]]</f>
        <v>901.32</v>
      </c>
      <c r="O70" s="10" t="str">
        <f>IF(Table1[[#This Row],[TotalSales]]&gt;3000,"High Value","Regular")</f>
        <v>Regular</v>
      </c>
      <c r="P70" s="11">
        <f>VLOOKUP(Table1[[#This Row],[Product]],Table2[],2)</f>
        <v>0.03</v>
      </c>
      <c r="Q70" s="6">
        <f>Table1[[#This Row],[TotalSales]]*Table1[[#This Row],[CommissionRate]]</f>
        <v>27.0396</v>
      </c>
    </row>
    <row r="71" spans="1:17" x14ac:dyDescent="0.25">
      <c r="A71" t="s">
        <v>79</v>
      </c>
      <c r="B71" t="str">
        <f>TEXT(Table1[[#This Row],[ExactDate]],"mmm-yyyy")</f>
        <v>Mar-2025</v>
      </c>
      <c r="C71" s="5">
        <v>45727</v>
      </c>
      <c r="D71" t="s">
        <v>211</v>
      </c>
      <c r="E71" s="4" t="s">
        <v>191</v>
      </c>
      <c r="F71" t="s">
        <v>173</v>
      </c>
      <c r="G71" t="s">
        <v>182</v>
      </c>
      <c r="H71" t="s">
        <v>186</v>
      </c>
      <c r="I71">
        <v>2</v>
      </c>
      <c r="J71" s="6">
        <v>167.27</v>
      </c>
      <c r="K71" t="s">
        <v>188</v>
      </c>
      <c r="L71" s="6">
        <f>Table1[[#This Row],[Quantity]]*Table1[[#This Row],[UnitPrice]]</f>
        <v>334.54</v>
      </c>
      <c r="M71" s="7">
        <f>IF(Table1[[#This Row],[Quantity]]&gt;5,5%*Table1[[#This Row],[TotalSales]],0)</f>
        <v>0</v>
      </c>
      <c r="N71" s="6">
        <f>Table1[[#This Row],[TotalSales]]-Table1[[#This Row],[Discount]]</f>
        <v>334.54</v>
      </c>
      <c r="O71" s="10" t="str">
        <f>IF(Table1[[#This Row],[TotalSales]]&gt;3000,"High Value","Regular")</f>
        <v>Regular</v>
      </c>
      <c r="P71" s="11">
        <f>VLOOKUP(Table1[[#This Row],[Product]],Table2[],2)</f>
        <v>0.05</v>
      </c>
      <c r="Q71" s="6">
        <f>Table1[[#This Row],[TotalSales]]*Table1[[#This Row],[CommissionRate]]</f>
        <v>16.727</v>
      </c>
    </row>
    <row r="72" spans="1:17" x14ac:dyDescent="0.25">
      <c r="A72" t="s">
        <v>80</v>
      </c>
      <c r="B72" t="str">
        <f>TEXT(Table1[[#This Row],[ExactDate]],"mmm-yyyy")</f>
        <v>Mar-2025</v>
      </c>
      <c r="C72" s="5">
        <v>45728</v>
      </c>
      <c r="D72" t="s">
        <v>211</v>
      </c>
      <c r="E72" s="4" t="s">
        <v>195</v>
      </c>
      <c r="F72" t="s">
        <v>174</v>
      </c>
      <c r="G72" t="s">
        <v>182</v>
      </c>
      <c r="H72" t="s">
        <v>183</v>
      </c>
      <c r="I72">
        <v>3</v>
      </c>
      <c r="J72" s="6">
        <v>39.369999999999997</v>
      </c>
      <c r="K72" t="s">
        <v>189</v>
      </c>
      <c r="L72" s="6">
        <f>Table1[[#This Row],[Quantity]]*Table1[[#This Row],[UnitPrice]]</f>
        <v>118.10999999999999</v>
      </c>
      <c r="M72" s="7">
        <f>IF(Table1[[#This Row],[Quantity]]&gt;5,5%*Table1[[#This Row],[TotalSales]],0)</f>
        <v>0</v>
      </c>
      <c r="N72" s="6">
        <f>Table1[[#This Row],[TotalSales]]-Table1[[#This Row],[Discount]]</f>
        <v>118.10999999999999</v>
      </c>
      <c r="O72" s="10" t="str">
        <f>IF(Table1[[#This Row],[TotalSales]]&gt;3000,"High Value","Regular")</f>
        <v>Regular</v>
      </c>
      <c r="P72" s="11">
        <f>VLOOKUP(Table1[[#This Row],[Product]],Table2[],2)</f>
        <v>0.04</v>
      </c>
      <c r="Q72" s="6">
        <f>Table1[[#This Row],[TotalSales]]*Table1[[#This Row],[CommissionRate]]</f>
        <v>4.7243999999999993</v>
      </c>
    </row>
    <row r="73" spans="1:17" x14ac:dyDescent="0.25">
      <c r="A73" t="s">
        <v>81</v>
      </c>
      <c r="B73" t="str">
        <f>TEXT(Table1[[#This Row],[ExactDate]],"mmm-yyyy")</f>
        <v>Mar-2025</v>
      </c>
      <c r="C73" s="5">
        <v>45729</v>
      </c>
      <c r="D73" t="s">
        <v>198</v>
      </c>
      <c r="E73" s="4" t="s">
        <v>203</v>
      </c>
      <c r="F73" t="s">
        <v>178</v>
      </c>
      <c r="G73" t="s">
        <v>181</v>
      </c>
      <c r="H73" t="s">
        <v>185</v>
      </c>
      <c r="I73">
        <v>6</v>
      </c>
      <c r="J73" s="6">
        <v>46.65</v>
      </c>
      <c r="K73" t="s">
        <v>187</v>
      </c>
      <c r="L73" s="6">
        <f>Table1[[#This Row],[Quantity]]*Table1[[#This Row],[UnitPrice]]</f>
        <v>279.89999999999998</v>
      </c>
      <c r="M73" s="7">
        <f>IF(Table1[[#This Row],[Quantity]]&gt;5,5%*Table1[[#This Row],[TotalSales]],0)</f>
        <v>13.994999999999999</v>
      </c>
      <c r="N73" s="6">
        <f>Table1[[#This Row],[TotalSales]]-Table1[[#This Row],[Discount]]</f>
        <v>265.90499999999997</v>
      </c>
      <c r="O73" s="10" t="str">
        <f>IF(Table1[[#This Row],[TotalSales]]&gt;3000,"High Value","Regular")</f>
        <v>Regular</v>
      </c>
      <c r="P73" s="11">
        <f>VLOOKUP(Table1[[#This Row],[Product]],Table2[],2)</f>
        <v>0.02</v>
      </c>
      <c r="Q73" s="6">
        <f>Table1[[#This Row],[TotalSales]]*Table1[[#This Row],[CommissionRate]]</f>
        <v>5.5979999999999999</v>
      </c>
    </row>
    <row r="74" spans="1:17" x14ac:dyDescent="0.25">
      <c r="A74" t="s">
        <v>82</v>
      </c>
      <c r="B74" t="str">
        <f>TEXT(Table1[[#This Row],[ExactDate]],"mmm-yyyy")</f>
        <v>Mar-2025</v>
      </c>
      <c r="C74" s="5">
        <v>45730</v>
      </c>
      <c r="D74" t="s">
        <v>208</v>
      </c>
      <c r="E74" s="4" t="s">
        <v>195</v>
      </c>
      <c r="F74" t="s">
        <v>174</v>
      </c>
      <c r="G74" t="s">
        <v>182</v>
      </c>
      <c r="H74" t="s">
        <v>184</v>
      </c>
      <c r="I74">
        <v>3</v>
      </c>
      <c r="J74" s="6">
        <v>345.37</v>
      </c>
      <c r="K74" t="s">
        <v>187</v>
      </c>
      <c r="L74" s="6">
        <f>Table1[[#This Row],[Quantity]]*Table1[[#This Row],[UnitPrice]]</f>
        <v>1036.1100000000001</v>
      </c>
      <c r="M74" s="7">
        <f>IF(Table1[[#This Row],[Quantity]]&gt;5,5%*Table1[[#This Row],[TotalSales]],0)</f>
        <v>0</v>
      </c>
      <c r="N74" s="6">
        <f>Table1[[#This Row],[TotalSales]]-Table1[[#This Row],[Discount]]</f>
        <v>1036.1100000000001</v>
      </c>
      <c r="O74" s="10" t="str">
        <f>IF(Table1[[#This Row],[TotalSales]]&gt;3000,"High Value","Regular")</f>
        <v>Regular</v>
      </c>
      <c r="P74" s="11">
        <f>VLOOKUP(Table1[[#This Row],[Product]],Table2[],2)</f>
        <v>0.04</v>
      </c>
      <c r="Q74" s="6">
        <f>Table1[[#This Row],[TotalSales]]*Table1[[#This Row],[CommissionRate]]</f>
        <v>41.444400000000009</v>
      </c>
    </row>
    <row r="75" spans="1:17" x14ac:dyDescent="0.25">
      <c r="A75" t="s">
        <v>83</v>
      </c>
      <c r="B75" t="str">
        <f>TEXT(Table1[[#This Row],[ExactDate]],"mmm-yyyy")</f>
        <v>Mar-2025</v>
      </c>
      <c r="C75" s="5">
        <v>45731</v>
      </c>
      <c r="D75" t="s">
        <v>207</v>
      </c>
      <c r="E75" s="4" t="s">
        <v>195</v>
      </c>
      <c r="F75" t="s">
        <v>176</v>
      </c>
      <c r="G75" t="s">
        <v>182</v>
      </c>
      <c r="H75" t="s">
        <v>185</v>
      </c>
      <c r="I75">
        <v>2</v>
      </c>
      <c r="J75" s="6">
        <v>297.77</v>
      </c>
      <c r="K75" t="s">
        <v>189</v>
      </c>
      <c r="L75" s="6">
        <f>Table1[[#This Row],[Quantity]]*Table1[[#This Row],[UnitPrice]]</f>
        <v>595.54</v>
      </c>
      <c r="M75" s="7">
        <f>IF(Table1[[#This Row],[Quantity]]&gt;5,5%*Table1[[#This Row],[TotalSales]],0)</f>
        <v>0</v>
      </c>
      <c r="N75" s="6">
        <f>Table1[[#This Row],[TotalSales]]-Table1[[#This Row],[Discount]]</f>
        <v>595.54</v>
      </c>
      <c r="O75" s="10" t="str">
        <f>IF(Table1[[#This Row],[TotalSales]]&gt;3000,"High Value","Regular")</f>
        <v>Regular</v>
      </c>
      <c r="P75" s="11">
        <f>VLOOKUP(Table1[[#This Row],[Product]],Table2[],2)</f>
        <v>0.05</v>
      </c>
      <c r="Q75" s="6">
        <f>Table1[[#This Row],[TotalSales]]*Table1[[#This Row],[CommissionRate]]</f>
        <v>29.777000000000001</v>
      </c>
    </row>
    <row r="76" spans="1:17" x14ac:dyDescent="0.25">
      <c r="A76" t="s">
        <v>84</v>
      </c>
      <c r="B76" t="str">
        <f>TEXT(Table1[[#This Row],[ExactDate]],"mmm-yyyy")</f>
        <v>Mar-2025</v>
      </c>
      <c r="C76" s="5">
        <v>45732</v>
      </c>
      <c r="D76" t="s">
        <v>196</v>
      </c>
      <c r="E76" s="4" t="s">
        <v>191</v>
      </c>
      <c r="F76" t="s">
        <v>173</v>
      </c>
      <c r="G76" t="s">
        <v>182</v>
      </c>
      <c r="H76" t="s">
        <v>185</v>
      </c>
      <c r="I76">
        <v>4</v>
      </c>
      <c r="J76" s="6">
        <v>716.73</v>
      </c>
      <c r="K76" t="s">
        <v>188</v>
      </c>
      <c r="L76" s="6">
        <f>Table1[[#This Row],[Quantity]]*Table1[[#This Row],[UnitPrice]]</f>
        <v>2866.92</v>
      </c>
      <c r="M76" s="7">
        <f>IF(Table1[[#This Row],[Quantity]]&gt;5,5%*Table1[[#This Row],[TotalSales]],0)</f>
        <v>0</v>
      </c>
      <c r="N76" s="6">
        <f>Table1[[#This Row],[TotalSales]]-Table1[[#This Row],[Discount]]</f>
        <v>2866.92</v>
      </c>
      <c r="O76" s="10" t="str">
        <f>IF(Table1[[#This Row],[TotalSales]]&gt;3000,"High Value","Regular")</f>
        <v>Regular</v>
      </c>
      <c r="P76" s="11">
        <f>VLOOKUP(Table1[[#This Row],[Product]],Table2[],2)</f>
        <v>0.05</v>
      </c>
      <c r="Q76" s="6">
        <f>Table1[[#This Row],[TotalSales]]*Table1[[#This Row],[CommissionRate]]</f>
        <v>143.346</v>
      </c>
    </row>
    <row r="77" spans="1:17" x14ac:dyDescent="0.25">
      <c r="A77" t="s">
        <v>85</v>
      </c>
      <c r="B77" t="str">
        <f>TEXT(Table1[[#This Row],[ExactDate]],"mmm-yyyy")</f>
        <v>Mar-2025</v>
      </c>
      <c r="C77" s="5">
        <v>45733</v>
      </c>
      <c r="D77" t="s">
        <v>198</v>
      </c>
      <c r="E77" s="4" t="s">
        <v>199</v>
      </c>
      <c r="F77" t="s">
        <v>171</v>
      </c>
      <c r="G77" t="s">
        <v>182</v>
      </c>
      <c r="H77" t="s">
        <v>185</v>
      </c>
      <c r="I77">
        <v>4</v>
      </c>
      <c r="J77" s="6">
        <v>17.29</v>
      </c>
      <c r="K77" t="s">
        <v>189</v>
      </c>
      <c r="L77" s="6">
        <f>Table1[[#This Row],[Quantity]]*Table1[[#This Row],[UnitPrice]]</f>
        <v>69.16</v>
      </c>
      <c r="M77" s="7">
        <f>IF(Table1[[#This Row],[Quantity]]&gt;5,5%*Table1[[#This Row],[TotalSales]],0)</f>
        <v>0</v>
      </c>
      <c r="N77" s="6">
        <f>Table1[[#This Row],[TotalSales]]-Table1[[#This Row],[Discount]]</f>
        <v>69.16</v>
      </c>
      <c r="O77" s="10" t="str">
        <f>IF(Table1[[#This Row],[TotalSales]]&gt;3000,"High Value","Regular")</f>
        <v>Regular</v>
      </c>
      <c r="P77" s="11">
        <f>VLOOKUP(Table1[[#This Row],[Product]],Table2[],2)</f>
        <v>0.05</v>
      </c>
      <c r="Q77" s="6">
        <f>Table1[[#This Row],[TotalSales]]*Table1[[#This Row],[CommissionRate]]</f>
        <v>3.4580000000000002</v>
      </c>
    </row>
    <row r="78" spans="1:17" x14ac:dyDescent="0.25">
      <c r="A78" t="s">
        <v>86</v>
      </c>
      <c r="B78" t="str">
        <f>TEXT(Table1[[#This Row],[ExactDate]],"mmm-yyyy")</f>
        <v>Mar-2025</v>
      </c>
      <c r="C78" s="5">
        <v>45734</v>
      </c>
      <c r="D78" t="s">
        <v>209</v>
      </c>
      <c r="E78" s="4" t="s">
        <v>191</v>
      </c>
      <c r="F78" t="s">
        <v>176</v>
      </c>
      <c r="G78" t="s">
        <v>182</v>
      </c>
      <c r="H78" t="s">
        <v>186</v>
      </c>
      <c r="I78">
        <v>3</v>
      </c>
      <c r="J78" s="6">
        <v>721.58</v>
      </c>
      <c r="K78" t="s">
        <v>189</v>
      </c>
      <c r="L78" s="6">
        <f>Table1[[#This Row],[Quantity]]*Table1[[#This Row],[UnitPrice]]</f>
        <v>2164.7400000000002</v>
      </c>
      <c r="M78" s="7">
        <f>IF(Table1[[#This Row],[Quantity]]&gt;5,5%*Table1[[#This Row],[TotalSales]],0)</f>
        <v>0</v>
      </c>
      <c r="N78" s="6">
        <f>Table1[[#This Row],[TotalSales]]-Table1[[#This Row],[Discount]]</f>
        <v>2164.7400000000002</v>
      </c>
      <c r="O78" s="10" t="str">
        <f>IF(Table1[[#This Row],[TotalSales]]&gt;3000,"High Value","Regular")</f>
        <v>Regular</v>
      </c>
      <c r="P78" s="11">
        <f>VLOOKUP(Table1[[#This Row],[Product]],Table2[],2)</f>
        <v>0.05</v>
      </c>
      <c r="Q78" s="6">
        <f>Table1[[#This Row],[TotalSales]]*Table1[[#This Row],[CommissionRate]]</f>
        <v>108.23700000000002</v>
      </c>
    </row>
    <row r="79" spans="1:17" x14ac:dyDescent="0.25">
      <c r="A79" t="s">
        <v>87</v>
      </c>
      <c r="B79" t="str">
        <f>TEXT(Table1[[#This Row],[ExactDate]],"mmm-yyyy")</f>
        <v>Mar-2025</v>
      </c>
      <c r="C79" s="5">
        <v>45735</v>
      </c>
      <c r="D79" t="s">
        <v>200</v>
      </c>
      <c r="E79" s="4" t="s">
        <v>201</v>
      </c>
      <c r="F79" t="s">
        <v>179</v>
      </c>
      <c r="G79" t="s">
        <v>181</v>
      </c>
      <c r="H79" t="s">
        <v>183</v>
      </c>
      <c r="I79">
        <v>3</v>
      </c>
      <c r="J79" s="6">
        <v>340.91</v>
      </c>
      <c r="K79" t="s">
        <v>187</v>
      </c>
      <c r="L79" s="6">
        <f>Table1[[#This Row],[Quantity]]*Table1[[#This Row],[UnitPrice]]</f>
        <v>1022.73</v>
      </c>
      <c r="M79" s="7">
        <f>IF(Table1[[#This Row],[Quantity]]&gt;5,5%*Table1[[#This Row],[TotalSales]],0)</f>
        <v>0</v>
      </c>
      <c r="N79" s="6">
        <f>Table1[[#This Row],[TotalSales]]-Table1[[#This Row],[Discount]]</f>
        <v>1022.73</v>
      </c>
      <c r="O79" s="10" t="str">
        <f>IF(Table1[[#This Row],[TotalSales]]&gt;3000,"High Value","Regular")</f>
        <v>Regular</v>
      </c>
      <c r="P79" s="11">
        <f>VLOOKUP(Table1[[#This Row],[Product]],Table2[],2)</f>
        <v>0.03</v>
      </c>
      <c r="Q79" s="6">
        <f>Table1[[#This Row],[TotalSales]]*Table1[[#This Row],[CommissionRate]]</f>
        <v>30.681899999999999</v>
      </c>
    </row>
    <row r="80" spans="1:17" x14ac:dyDescent="0.25">
      <c r="A80" t="s">
        <v>88</v>
      </c>
      <c r="B80" t="str">
        <f>TEXT(Table1[[#This Row],[ExactDate]],"mmm-yyyy")</f>
        <v>Mar-2025</v>
      </c>
      <c r="C80" s="5">
        <v>45736</v>
      </c>
      <c r="D80" t="s">
        <v>190</v>
      </c>
      <c r="E80" s="4" t="s">
        <v>197</v>
      </c>
      <c r="F80" t="s">
        <v>178</v>
      </c>
      <c r="G80" t="s">
        <v>181</v>
      </c>
      <c r="H80" t="s">
        <v>183</v>
      </c>
      <c r="I80">
        <v>7</v>
      </c>
      <c r="J80" s="6">
        <v>549.97</v>
      </c>
      <c r="K80" t="s">
        <v>189</v>
      </c>
      <c r="L80" s="6">
        <f>Table1[[#This Row],[Quantity]]*Table1[[#This Row],[UnitPrice]]</f>
        <v>3849.79</v>
      </c>
      <c r="M80" s="7">
        <f>IF(Table1[[#This Row],[Quantity]]&gt;5,5%*Table1[[#This Row],[TotalSales]],0)</f>
        <v>192.48950000000002</v>
      </c>
      <c r="N80" s="6">
        <f>Table1[[#This Row],[TotalSales]]-Table1[[#This Row],[Discount]]</f>
        <v>3657.3004999999998</v>
      </c>
      <c r="O80" s="10" t="str">
        <f>IF(Table1[[#This Row],[TotalSales]]&gt;3000,"High Value","Regular")</f>
        <v>High Value</v>
      </c>
      <c r="P80" s="11">
        <f>VLOOKUP(Table1[[#This Row],[Product]],Table2[],2)</f>
        <v>0.02</v>
      </c>
      <c r="Q80" s="6">
        <f>Table1[[#This Row],[TotalSales]]*Table1[[#This Row],[CommissionRate]]</f>
        <v>76.995800000000003</v>
      </c>
    </row>
    <row r="81" spans="1:17" x14ac:dyDescent="0.25">
      <c r="A81" t="s">
        <v>89</v>
      </c>
      <c r="B81" t="str">
        <f>TEXT(Table1[[#This Row],[ExactDate]],"mmm-yyyy")</f>
        <v>Mar-2025</v>
      </c>
      <c r="C81" s="5">
        <v>45737</v>
      </c>
      <c r="D81" t="s">
        <v>190</v>
      </c>
      <c r="E81" s="4" t="s">
        <v>204</v>
      </c>
      <c r="F81" t="s">
        <v>176</v>
      </c>
      <c r="G81" t="s">
        <v>182</v>
      </c>
      <c r="H81" t="s">
        <v>183</v>
      </c>
      <c r="I81">
        <v>9</v>
      </c>
      <c r="J81" s="6">
        <v>36.51</v>
      </c>
      <c r="K81" t="s">
        <v>189</v>
      </c>
      <c r="L81" s="6">
        <f>Table1[[#This Row],[Quantity]]*Table1[[#This Row],[UnitPrice]]</f>
        <v>328.59</v>
      </c>
      <c r="M81" s="7">
        <f>IF(Table1[[#This Row],[Quantity]]&gt;5,5%*Table1[[#This Row],[TotalSales]],0)</f>
        <v>16.429500000000001</v>
      </c>
      <c r="N81" s="6">
        <f>Table1[[#This Row],[TotalSales]]-Table1[[#This Row],[Discount]]</f>
        <v>312.16049999999996</v>
      </c>
      <c r="O81" s="10" t="str">
        <f>IF(Table1[[#This Row],[TotalSales]]&gt;3000,"High Value","Regular")</f>
        <v>Regular</v>
      </c>
      <c r="P81" s="11">
        <f>VLOOKUP(Table1[[#This Row],[Product]],Table2[],2)</f>
        <v>0.05</v>
      </c>
      <c r="Q81" s="6">
        <f>Table1[[#This Row],[TotalSales]]*Table1[[#This Row],[CommissionRate]]</f>
        <v>16.429500000000001</v>
      </c>
    </row>
    <row r="82" spans="1:17" x14ac:dyDescent="0.25">
      <c r="A82" t="s">
        <v>90</v>
      </c>
      <c r="B82" t="str">
        <f>TEXT(Table1[[#This Row],[ExactDate]],"mmm-yyyy")</f>
        <v>Mar-2025</v>
      </c>
      <c r="C82" s="5">
        <v>45738</v>
      </c>
      <c r="D82" t="s">
        <v>198</v>
      </c>
      <c r="E82" s="4" t="s">
        <v>197</v>
      </c>
      <c r="F82" t="s">
        <v>172</v>
      </c>
      <c r="G82" t="s">
        <v>181</v>
      </c>
      <c r="H82" t="s">
        <v>183</v>
      </c>
      <c r="I82">
        <v>9</v>
      </c>
      <c r="J82" s="6">
        <v>235.36</v>
      </c>
      <c r="K82" t="s">
        <v>189</v>
      </c>
      <c r="L82" s="6">
        <f>Table1[[#This Row],[Quantity]]*Table1[[#This Row],[UnitPrice]]</f>
        <v>2118.2400000000002</v>
      </c>
      <c r="M82" s="7">
        <f>IF(Table1[[#This Row],[Quantity]]&gt;5,5%*Table1[[#This Row],[TotalSales]],0)</f>
        <v>105.91200000000002</v>
      </c>
      <c r="N82" s="6">
        <f>Table1[[#This Row],[TotalSales]]-Table1[[#This Row],[Discount]]</f>
        <v>2012.3280000000002</v>
      </c>
      <c r="O82" s="10" t="str">
        <f>IF(Table1[[#This Row],[TotalSales]]&gt;3000,"High Value","Regular")</f>
        <v>Regular</v>
      </c>
      <c r="P82" s="11">
        <f>VLOOKUP(Table1[[#This Row],[Product]],Table2[],2)</f>
        <v>0.03</v>
      </c>
      <c r="Q82" s="6">
        <f>Table1[[#This Row],[TotalSales]]*Table1[[#This Row],[CommissionRate]]</f>
        <v>63.547200000000004</v>
      </c>
    </row>
    <row r="83" spans="1:17" x14ac:dyDescent="0.25">
      <c r="A83" t="s">
        <v>91</v>
      </c>
      <c r="B83" t="str">
        <f>TEXT(Table1[[#This Row],[ExactDate]],"mmm-yyyy")</f>
        <v>Mar-2025</v>
      </c>
      <c r="C83" s="5">
        <v>45739</v>
      </c>
      <c r="D83" t="s">
        <v>190</v>
      </c>
      <c r="E83" s="4" t="s">
        <v>204</v>
      </c>
      <c r="F83" t="s">
        <v>178</v>
      </c>
      <c r="G83" t="s">
        <v>181</v>
      </c>
      <c r="H83" t="s">
        <v>183</v>
      </c>
      <c r="I83">
        <v>10</v>
      </c>
      <c r="J83" s="6">
        <v>249.86</v>
      </c>
      <c r="K83" t="s">
        <v>188</v>
      </c>
      <c r="L83" s="6">
        <f>Table1[[#This Row],[Quantity]]*Table1[[#This Row],[UnitPrice]]</f>
        <v>2498.6000000000004</v>
      </c>
      <c r="M83" s="7">
        <f>IF(Table1[[#This Row],[Quantity]]&gt;5,5%*Table1[[#This Row],[TotalSales]],0)</f>
        <v>124.93000000000002</v>
      </c>
      <c r="N83" s="6">
        <f>Table1[[#This Row],[TotalSales]]-Table1[[#This Row],[Discount]]</f>
        <v>2373.6700000000005</v>
      </c>
      <c r="O83" s="10" t="str">
        <f>IF(Table1[[#This Row],[TotalSales]]&gt;3000,"High Value","Regular")</f>
        <v>Regular</v>
      </c>
      <c r="P83" s="11">
        <f>VLOOKUP(Table1[[#This Row],[Product]],Table2[],2)</f>
        <v>0.02</v>
      </c>
      <c r="Q83" s="6">
        <f>Table1[[#This Row],[TotalSales]]*Table1[[#This Row],[CommissionRate]]</f>
        <v>49.972000000000008</v>
      </c>
    </row>
    <row r="84" spans="1:17" x14ac:dyDescent="0.25">
      <c r="A84" t="s">
        <v>92</v>
      </c>
      <c r="B84" t="str">
        <f>TEXT(Table1[[#This Row],[ExactDate]],"mmm-yyyy")</f>
        <v>Mar-2025</v>
      </c>
      <c r="C84" s="5">
        <v>45740</v>
      </c>
      <c r="D84" t="s">
        <v>208</v>
      </c>
      <c r="E84" s="4" t="s">
        <v>197</v>
      </c>
      <c r="F84" t="s">
        <v>172</v>
      </c>
      <c r="G84" t="s">
        <v>181</v>
      </c>
      <c r="H84" t="s">
        <v>183</v>
      </c>
      <c r="I84">
        <v>10</v>
      </c>
      <c r="J84" s="6">
        <v>538.9</v>
      </c>
      <c r="K84" t="s">
        <v>187</v>
      </c>
      <c r="L84" s="6">
        <f>Table1[[#This Row],[Quantity]]*Table1[[#This Row],[UnitPrice]]</f>
        <v>5389</v>
      </c>
      <c r="M84" s="7">
        <f>IF(Table1[[#This Row],[Quantity]]&gt;5,5%*Table1[[#This Row],[TotalSales]],0)</f>
        <v>269.45</v>
      </c>
      <c r="N84" s="6">
        <f>Table1[[#This Row],[TotalSales]]-Table1[[#This Row],[Discount]]</f>
        <v>5119.55</v>
      </c>
      <c r="O84" s="10" t="str">
        <f>IF(Table1[[#This Row],[TotalSales]]&gt;3000,"High Value","Regular")</f>
        <v>High Value</v>
      </c>
      <c r="P84" s="11">
        <f>VLOOKUP(Table1[[#This Row],[Product]],Table2[],2)</f>
        <v>0.03</v>
      </c>
      <c r="Q84" s="6">
        <f>Table1[[#This Row],[TotalSales]]*Table1[[#This Row],[CommissionRate]]</f>
        <v>161.66999999999999</v>
      </c>
    </row>
    <row r="85" spans="1:17" x14ac:dyDescent="0.25">
      <c r="A85" t="s">
        <v>93</v>
      </c>
      <c r="B85" t="str">
        <f>TEXT(Table1[[#This Row],[ExactDate]],"mmm-yyyy")</f>
        <v>Mar-2025</v>
      </c>
      <c r="C85" s="5">
        <v>45741</v>
      </c>
      <c r="D85" t="s">
        <v>194</v>
      </c>
      <c r="E85" s="4" t="s">
        <v>203</v>
      </c>
      <c r="F85" t="s">
        <v>177</v>
      </c>
      <c r="G85" t="s">
        <v>181</v>
      </c>
      <c r="H85" t="s">
        <v>186</v>
      </c>
      <c r="I85">
        <v>5</v>
      </c>
      <c r="J85" s="6">
        <v>18.79</v>
      </c>
      <c r="K85" t="s">
        <v>187</v>
      </c>
      <c r="L85" s="6">
        <f>Table1[[#This Row],[Quantity]]*Table1[[#This Row],[UnitPrice]]</f>
        <v>93.949999999999989</v>
      </c>
      <c r="M85" s="7">
        <f>IF(Table1[[#This Row],[Quantity]]&gt;5,5%*Table1[[#This Row],[TotalSales]],0)</f>
        <v>0</v>
      </c>
      <c r="N85" s="6">
        <f>Table1[[#This Row],[TotalSales]]-Table1[[#This Row],[Discount]]</f>
        <v>93.949999999999989</v>
      </c>
      <c r="O85" s="10" t="str">
        <f>IF(Table1[[#This Row],[TotalSales]]&gt;3000,"High Value","Regular")</f>
        <v>Regular</v>
      </c>
      <c r="P85" s="11">
        <f>VLOOKUP(Table1[[#This Row],[Product]],Table2[],2)</f>
        <v>0.02</v>
      </c>
      <c r="Q85" s="6">
        <f>Table1[[#This Row],[TotalSales]]*Table1[[#This Row],[CommissionRate]]</f>
        <v>1.8789999999999998</v>
      </c>
    </row>
    <row r="86" spans="1:17" x14ac:dyDescent="0.25">
      <c r="A86" t="s">
        <v>94</v>
      </c>
      <c r="B86" t="str">
        <f>TEXT(Table1[[#This Row],[ExactDate]],"mmm-yyyy")</f>
        <v>Mar-2025</v>
      </c>
      <c r="C86" s="5">
        <v>45742</v>
      </c>
      <c r="D86" t="s">
        <v>209</v>
      </c>
      <c r="E86" s="4" t="s">
        <v>205</v>
      </c>
      <c r="F86" t="s">
        <v>173</v>
      </c>
      <c r="G86" t="s">
        <v>182</v>
      </c>
      <c r="H86" t="s">
        <v>185</v>
      </c>
      <c r="I86">
        <v>8</v>
      </c>
      <c r="J86" s="6">
        <v>530.91</v>
      </c>
      <c r="K86" t="s">
        <v>187</v>
      </c>
      <c r="L86" s="6">
        <f>Table1[[#This Row],[Quantity]]*Table1[[#This Row],[UnitPrice]]</f>
        <v>4247.28</v>
      </c>
      <c r="M86" s="7">
        <f>IF(Table1[[#This Row],[Quantity]]&gt;5,5%*Table1[[#This Row],[TotalSales]],0)</f>
        <v>212.364</v>
      </c>
      <c r="N86" s="6">
        <f>Table1[[#This Row],[TotalSales]]-Table1[[#This Row],[Discount]]</f>
        <v>4034.9159999999997</v>
      </c>
      <c r="O86" s="10" t="str">
        <f>IF(Table1[[#This Row],[TotalSales]]&gt;3000,"High Value","Regular")</f>
        <v>High Value</v>
      </c>
      <c r="P86" s="11">
        <f>VLOOKUP(Table1[[#This Row],[Product]],Table2[],2)</f>
        <v>0.05</v>
      </c>
      <c r="Q86" s="6">
        <f>Table1[[#This Row],[TotalSales]]*Table1[[#This Row],[CommissionRate]]</f>
        <v>212.364</v>
      </c>
    </row>
    <row r="87" spans="1:17" x14ac:dyDescent="0.25">
      <c r="A87" t="s">
        <v>95</v>
      </c>
      <c r="B87" t="str">
        <f>TEXT(Table1[[#This Row],[ExactDate]],"mmm-yyyy")</f>
        <v>Mar-2025</v>
      </c>
      <c r="C87" s="5">
        <v>45743</v>
      </c>
      <c r="D87" t="s">
        <v>207</v>
      </c>
      <c r="E87" s="4" t="s">
        <v>202</v>
      </c>
      <c r="F87" t="s">
        <v>174</v>
      </c>
      <c r="G87" t="s">
        <v>182</v>
      </c>
      <c r="H87" t="s">
        <v>186</v>
      </c>
      <c r="I87">
        <v>2</v>
      </c>
      <c r="J87" s="6">
        <v>35.26</v>
      </c>
      <c r="K87" t="s">
        <v>188</v>
      </c>
      <c r="L87" s="6">
        <f>Table1[[#This Row],[Quantity]]*Table1[[#This Row],[UnitPrice]]</f>
        <v>70.52</v>
      </c>
      <c r="M87" s="7">
        <f>IF(Table1[[#This Row],[Quantity]]&gt;5,5%*Table1[[#This Row],[TotalSales]],0)</f>
        <v>0</v>
      </c>
      <c r="N87" s="6">
        <f>Table1[[#This Row],[TotalSales]]-Table1[[#This Row],[Discount]]</f>
        <v>70.52</v>
      </c>
      <c r="O87" s="10" t="str">
        <f>IF(Table1[[#This Row],[TotalSales]]&gt;3000,"High Value","Regular")</f>
        <v>Regular</v>
      </c>
      <c r="P87" s="11">
        <f>VLOOKUP(Table1[[#This Row],[Product]],Table2[],2)</f>
        <v>0.04</v>
      </c>
      <c r="Q87" s="6">
        <f>Table1[[#This Row],[TotalSales]]*Table1[[#This Row],[CommissionRate]]</f>
        <v>2.8207999999999998</v>
      </c>
    </row>
    <row r="88" spans="1:17" x14ac:dyDescent="0.25">
      <c r="A88" t="s">
        <v>96</v>
      </c>
      <c r="B88" t="str">
        <f>TEXT(Table1[[#This Row],[ExactDate]],"mmm-yyyy")</f>
        <v>Mar-2025</v>
      </c>
      <c r="C88" s="5">
        <v>45744</v>
      </c>
      <c r="D88" t="s">
        <v>190</v>
      </c>
      <c r="E88" s="4" t="s">
        <v>199</v>
      </c>
      <c r="F88" t="s">
        <v>176</v>
      </c>
      <c r="G88" t="s">
        <v>182</v>
      </c>
      <c r="H88" t="s">
        <v>185</v>
      </c>
      <c r="I88">
        <v>3</v>
      </c>
      <c r="J88" s="6">
        <v>577.83000000000004</v>
      </c>
      <c r="K88" t="s">
        <v>188</v>
      </c>
      <c r="L88" s="6">
        <f>Table1[[#This Row],[Quantity]]*Table1[[#This Row],[UnitPrice]]</f>
        <v>1733.4900000000002</v>
      </c>
      <c r="M88" s="7">
        <f>IF(Table1[[#This Row],[Quantity]]&gt;5,5%*Table1[[#This Row],[TotalSales]],0)</f>
        <v>0</v>
      </c>
      <c r="N88" s="6">
        <f>Table1[[#This Row],[TotalSales]]-Table1[[#This Row],[Discount]]</f>
        <v>1733.4900000000002</v>
      </c>
      <c r="O88" s="10" t="str">
        <f>IF(Table1[[#This Row],[TotalSales]]&gt;3000,"High Value","Regular")</f>
        <v>Regular</v>
      </c>
      <c r="P88" s="11">
        <f>VLOOKUP(Table1[[#This Row],[Product]],Table2[],2)</f>
        <v>0.05</v>
      </c>
      <c r="Q88" s="6">
        <f>Table1[[#This Row],[TotalSales]]*Table1[[#This Row],[CommissionRate]]</f>
        <v>86.674500000000023</v>
      </c>
    </row>
    <row r="89" spans="1:17" x14ac:dyDescent="0.25">
      <c r="A89" t="s">
        <v>97</v>
      </c>
      <c r="B89" t="str">
        <f>TEXT(Table1[[#This Row],[ExactDate]],"mmm-yyyy")</f>
        <v>Mar-2025</v>
      </c>
      <c r="C89" s="5">
        <v>45745</v>
      </c>
      <c r="D89" t="s">
        <v>207</v>
      </c>
      <c r="E89" s="4" t="s">
        <v>206</v>
      </c>
      <c r="F89" t="s">
        <v>180</v>
      </c>
      <c r="G89" t="s">
        <v>181</v>
      </c>
      <c r="H89" t="s">
        <v>185</v>
      </c>
      <c r="I89">
        <v>1</v>
      </c>
      <c r="J89" s="6">
        <v>973.61</v>
      </c>
      <c r="K89" t="s">
        <v>188</v>
      </c>
      <c r="L89" s="6">
        <f>Table1[[#This Row],[Quantity]]*Table1[[#This Row],[UnitPrice]]</f>
        <v>973.61</v>
      </c>
      <c r="M89" s="7">
        <f>IF(Table1[[#This Row],[Quantity]]&gt;5,5%*Table1[[#This Row],[TotalSales]],0)</f>
        <v>0</v>
      </c>
      <c r="N89" s="6">
        <f>Table1[[#This Row],[TotalSales]]-Table1[[#This Row],[Discount]]</f>
        <v>973.61</v>
      </c>
      <c r="O89" s="10" t="str">
        <f>IF(Table1[[#This Row],[TotalSales]]&gt;3000,"High Value","Regular")</f>
        <v>Regular</v>
      </c>
      <c r="P89" s="11">
        <f>VLOOKUP(Table1[[#This Row],[Product]],Table2[],2)</f>
        <v>0.02</v>
      </c>
      <c r="Q89" s="6">
        <f>Table1[[#This Row],[TotalSales]]*Table1[[#This Row],[CommissionRate]]</f>
        <v>19.472200000000001</v>
      </c>
    </row>
    <row r="90" spans="1:17" x14ac:dyDescent="0.25">
      <c r="A90" t="s">
        <v>98</v>
      </c>
      <c r="B90" t="str">
        <f>TEXT(Table1[[#This Row],[ExactDate]],"mmm-yyyy")</f>
        <v>Mar-2025</v>
      </c>
      <c r="C90" s="5">
        <v>45746</v>
      </c>
      <c r="D90" t="s">
        <v>210</v>
      </c>
      <c r="E90" s="4" t="s">
        <v>205</v>
      </c>
      <c r="F90" t="s">
        <v>175</v>
      </c>
      <c r="G90" t="s">
        <v>182</v>
      </c>
      <c r="H90" t="s">
        <v>185</v>
      </c>
      <c r="I90">
        <v>1</v>
      </c>
      <c r="J90" s="6">
        <v>244.48</v>
      </c>
      <c r="K90" t="s">
        <v>189</v>
      </c>
      <c r="L90" s="6">
        <f>Table1[[#This Row],[Quantity]]*Table1[[#This Row],[UnitPrice]]</f>
        <v>244.48</v>
      </c>
      <c r="M90" s="7">
        <f>IF(Table1[[#This Row],[Quantity]]&gt;5,5%*Table1[[#This Row],[TotalSales]],0)</f>
        <v>0</v>
      </c>
      <c r="N90" s="6">
        <f>Table1[[#This Row],[TotalSales]]-Table1[[#This Row],[Discount]]</f>
        <v>244.48</v>
      </c>
      <c r="O90" s="10" t="str">
        <f>IF(Table1[[#This Row],[TotalSales]]&gt;3000,"High Value","Regular")</f>
        <v>Regular</v>
      </c>
      <c r="P90" s="11">
        <f>VLOOKUP(Table1[[#This Row],[Product]],Table2[],2)</f>
        <v>0.04</v>
      </c>
      <c r="Q90" s="6">
        <f>Table1[[#This Row],[TotalSales]]*Table1[[#This Row],[CommissionRate]]</f>
        <v>9.7791999999999994</v>
      </c>
    </row>
    <row r="91" spans="1:17" x14ac:dyDescent="0.25">
      <c r="A91" t="s">
        <v>99</v>
      </c>
      <c r="B91" t="str">
        <f>TEXT(Table1[[#This Row],[ExactDate]],"mmm-yyyy")</f>
        <v>Mar-2025</v>
      </c>
      <c r="C91" s="5">
        <v>45747</v>
      </c>
      <c r="D91" t="s">
        <v>190</v>
      </c>
      <c r="E91" s="4" t="s">
        <v>191</v>
      </c>
      <c r="F91" t="s">
        <v>174</v>
      </c>
      <c r="G91" t="s">
        <v>182</v>
      </c>
      <c r="H91" t="s">
        <v>185</v>
      </c>
      <c r="I91">
        <v>8</v>
      </c>
      <c r="J91" s="6">
        <v>646.37</v>
      </c>
      <c r="K91" t="s">
        <v>189</v>
      </c>
      <c r="L91" s="6">
        <f>Table1[[#This Row],[Quantity]]*Table1[[#This Row],[UnitPrice]]</f>
        <v>5170.96</v>
      </c>
      <c r="M91" s="7">
        <f>IF(Table1[[#This Row],[Quantity]]&gt;5,5%*Table1[[#This Row],[TotalSales]],0)</f>
        <v>258.548</v>
      </c>
      <c r="N91" s="6">
        <f>Table1[[#This Row],[TotalSales]]-Table1[[#This Row],[Discount]]</f>
        <v>4912.4120000000003</v>
      </c>
      <c r="O91" s="10" t="str">
        <f>IF(Table1[[#This Row],[TotalSales]]&gt;3000,"High Value","Regular")</f>
        <v>High Value</v>
      </c>
      <c r="P91" s="11">
        <f>VLOOKUP(Table1[[#This Row],[Product]],Table2[],2)</f>
        <v>0.04</v>
      </c>
      <c r="Q91" s="6">
        <f>Table1[[#This Row],[TotalSales]]*Table1[[#This Row],[CommissionRate]]</f>
        <v>206.83840000000001</v>
      </c>
    </row>
    <row r="92" spans="1:17" x14ac:dyDescent="0.25">
      <c r="A92" t="s">
        <v>100</v>
      </c>
      <c r="B92" t="str">
        <f>TEXT(Table1[[#This Row],[ExactDate]],"mmm-yyyy")</f>
        <v>Apr-2025</v>
      </c>
      <c r="C92" s="5">
        <v>45748</v>
      </c>
      <c r="D92" t="s">
        <v>210</v>
      </c>
      <c r="E92" s="4" t="s">
        <v>191</v>
      </c>
      <c r="F92" t="s">
        <v>172</v>
      </c>
      <c r="G92" t="s">
        <v>181</v>
      </c>
      <c r="H92" t="s">
        <v>186</v>
      </c>
      <c r="I92">
        <v>6</v>
      </c>
      <c r="J92" s="6">
        <v>896.98</v>
      </c>
      <c r="K92" t="s">
        <v>188</v>
      </c>
      <c r="L92" s="6">
        <f>Table1[[#This Row],[Quantity]]*Table1[[#This Row],[UnitPrice]]</f>
        <v>5381.88</v>
      </c>
      <c r="M92" s="7">
        <f>IF(Table1[[#This Row],[Quantity]]&gt;5,5%*Table1[[#This Row],[TotalSales]],0)</f>
        <v>269.09399999999999</v>
      </c>
      <c r="N92" s="6">
        <f>Table1[[#This Row],[TotalSales]]-Table1[[#This Row],[Discount]]</f>
        <v>5112.7860000000001</v>
      </c>
      <c r="O92" s="10" t="str">
        <f>IF(Table1[[#This Row],[TotalSales]]&gt;3000,"High Value","Regular")</f>
        <v>High Value</v>
      </c>
      <c r="P92" s="11">
        <f>VLOOKUP(Table1[[#This Row],[Product]],Table2[],2)</f>
        <v>0.03</v>
      </c>
      <c r="Q92" s="6">
        <f>Table1[[#This Row],[TotalSales]]*Table1[[#This Row],[CommissionRate]]</f>
        <v>161.4564</v>
      </c>
    </row>
    <row r="93" spans="1:17" x14ac:dyDescent="0.25">
      <c r="A93" t="s">
        <v>101</v>
      </c>
      <c r="B93" t="str">
        <f>TEXT(Table1[[#This Row],[ExactDate]],"mmm-yyyy")</f>
        <v>Apr-2025</v>
      </c>
      <c r="C93" s="5">
        <v>45749</v>
      </c>
      <c r="D93" t="s">
        <v>209</v>
      </c>
      <c r="E93" s="4" t="s">
        <v>199</v>
      </c>
      <c r="F93" t="s">
        <v>177</v>
      </c>
      <c r="G93" t="s">
        <v>181</v>
      </c>
      <c r="H93" t="s">
        <v>186</v>
      </c>
      <c r="I93">
        <v>5</v>
      </c>
      <c r="J93" s="6">
        <v>554.62</v>
      </c>
      <c r="K93" t="s">
        <v>187</v>
      </c>
      <c r="L93" s="6">
        <f>Table1[[#This Row],[Quantity]]*Table1[[#This Row],[UnitPrice]]</f>
        <v>2773.1</v>
      </c>
      <c r="M93" s="7">
        <f>IF(Table1[[#This Row],[Quantity]]&gt;5,5%*Table1[[#This Row],[TotalSales]],0)</f>
        <v>0</v>
      </c>
      <c r="N93" s="6">
        <f>Table1[[#This Row],[TotalSales]]-Table1[[#This Row],[Discount]]</f>
        <v>2773.1</v>
      </c>
      <c r="O93" s="10" t="str">
        <f>IF(Table1[[#This Row],[TotalSales]]&gt;3000,"High Value","Regular")</f>
        <v>Regular</v>
      </c>
      <c r="P93" s="11">
        <f>VLOOKUP(Table1[[#This Row],[Product]],Table2[],2)</f>
        <v>0.02</v>
      </c>
      <c r="Q93" s="6">
        <f>Table1[[#This Row],[TotalSales]]*Table1[[#This Row],[CommissionRate]]</f>
        <v>55.461999999999996</v>
      </c>
    </row>
    <row r="94" spans="1:17" x14ac:dyDescent="0.25">
      <c r="A94" t="s">
        <v>102</v>
      </c>
      <c r="B94" t="str">
        <f>TEXT(Table1[[#This Row],[ExactDate]],"mmm-yyyy")</f>
        <v>Apr-2025</v>
      </c>
      <c r="C94" s="5">
        <v>45750</v>
      </c>
      <c r="D94" t="s">
        <v>190</v>
      </c>
      <c r="E94" s="4" t="s">
        <v>203</v>
      </c>
      <c r="F94" t="s">
        <v>174</v>
      </c>
      <c r="G94" t="s">
        <v>182</v>
      </c>
      <c r="H94" t="s">
        <v>186</v>
      </c>
      <c r="I94">
        <v>6</v>
      </c>
      <c r="J94" s="6">
        <v>731.13</v>
      </c>
      <c r="K94" t="s">
        <v>189</v>
      </c>
      <c r="L94" s="6">
        <f>Table1[[#This Row],[Quantity]]*Table1[[#This Row],[UnitPrice]]</f>
        <v>4386.78</v>
      </c>
      <c r="M94" s="7">
        <f>IF(Table1[[#This Row],[Quantity]]&gt;5,5%*Table1[[#This Row],[TotalSales]],0)</f>
        <v>219.339</v>
      </c>
      <c r="N94" s="6">
        <f>Table1[[#This Row],[TotalSales]]-Table1[[#This Row],[Discount]]</f>
        <v>4167.4409999999998</v>
      </c>
      <c r="O94" s="10" t="str">
        <f>IF(Table1[[#This Row],[TotalSales]]&gt;3000,"High Value","Regular")</f>
        <v>High Value</v>
      </c>
      <c r="P94" s="11">
        <f>VLOOKUP(Table1[[#This Row],[Product]],Table2[],2)</f>
        <v>0.04</v>
      </c>
      <c r="Q94" s="6">
        <f>Table1[[#This Row],[TotalSales]]*Table1[[#This Row],[CommissionRate]]</f>
        <v>175.47119999999998</v>
      </c>
    </row>
    <row r="95" spans="1:17" x14ac:dyDescent="0.25">
      <c r="A95" t="s">
        <v>103</v>
      </c>
      <c r="B95" t="str">
        <f>TEXT(Table1[[#This Row],[ExactDate]],"mmm-yyyy")</f>
        <v>Apr-2025</v>
      </c>
      <c r="C95" s="5">
        <v>45751</v>
      </c>
      <c r="D95" t="s">
        <v>198</v>
      </c>
      <c r="E95" s="4" t="s">
        <v>199</v>
      </c>
      <c r="F95" t="s">
        <v>175</v>
      </c>
      <c r="G95" t="s">
        <v>182</v>
      </c>
      <c r="H95" t="s">
        <v>186</v>
      </c>
      <c r="I95">
        <v>1</v>
      </c>
      <c r="J95" s="6">
        <v>985.46</v>
      </c>
      <c r="K95" t="s">
        <v>188</v>
      </c>
      <c r="L95" s="6">
        <f>Table1[[#This Row],[Quantity]]*Table1[[#This Row],[UnitPrice]]</f>
        <v>985.46</v>
      </c>
      <c r="M95" s="7">
        <f>IF(Table1[[#This Row],[Quantity]]&gt;5,5%*Table1[[#This Row],[TotalSales]],0)</f>
        <v>0</v>
      </c>
      <c r="N95" s="6">
        <f>Table1[[#This Row],[TotalSales]]-Table1[[#This Row],[Discount]]</f>
        <v>985.46</v>
      </c>
      <c r="O95" s="10" t="str">
        <f>IF(Table1[[#This Row],[TotalSales]]&gt;3000,"High Value","Regular")</f>
        <v>Regular</v>
      </c>
      <c r="P95" s="11">
        <f>VLOOKUP(Table1[[#This Row],[Product]],Table2[],2)</f>
        <v>0.04</v>
      </c>
      <c r="Q95" s="6">
        <f>Table1[[#This Row],[TotalSales]]*Table1[[#This Row],[CommissionRate]]</f>
        <v>39.418400000000005</v>
      </c>
    </row>
    <row r="96" spans="1:17" x14ac:dyDescent="0.25">
      <c r="A96" t="s">
        <v>104</v>
      </c>
      <c r="B96" t="str">
        <f>TEXT(Table1[[#This Row],[ExactDate]],"mmm-yyyy")</f>
        <v>Apr-2025</v>
      </c>
      <c r="C96" s="5">
        <v>45752</v>
      </c>
      <c r="D96" t="s">
        <v>211</v>
      </c>
      <c r="E96" s="4" t="s">
        <v>203</v>
      </c>
      <c r="F96" t="s">
        <v>178</v>
      </c>
      <c r="G96" t="s">
        <v>181</v>
      </c>
      <c r="H96" t="s">
        <v>185</v>
      </c>
      <c r="I96">
        <v>4</v>
      </c>
      <c r="J96" s="6">
        <v>169.47</v>
      </c>
      <c r="K96" t="s">
        <v>189</v>
      </c>
      <c r="L96" s="6">
        <f>Table1[[#This Row],[Quantity]]*Table1[[#This Row],[UnitPrice]]</f>
        <v>677.88</v>
      </c>
      <c r="M96" s="7">
        <f>IF(Table1[[#This Row],[Quantity]]&gt;5,5%*Table1[[#This Row],[TotalSales]],0)</f>
        <v>0</v>
      </c>
      <c r="N96" s="6">
        <f>Table1[[#This Row],[TotalSales]]-Table1[[#This Row],[Discount]]</f>
        <v>677.88</v>
      </c>
      <c r="O96" s="10" t="str">
        <f>IF(Table1[[#This Row],[TotalSales]]&gt;3000,"High Value","Regular")</f>
        <v>Regular</v>
      </c>
      <c r="P96" s="11">
        <f>VLOOKUP(Table1[[#This Row],[Product]],Table2[],2)</f>
        <v>0.02</v>
      </c>
      <c r="Q96" s="6">
        <f>Table1[[#This Row],[TotalSales]]*Table1[[#This Row],[CommissionRate]]</f>
        <v>13.557600000000001</v>
      </c>
    </row>
    <row r="97" spans="1:17" x14ac:dyDescent="0.25">
      <c r="A97" t="s">
        <v>105</v>
      </c>
      <c r="B97" t="str">
        <f>TEXT(Table1[[#This Row],[ExactDate]],"mmm-yyyy")</f>
        <v>Apr-2025</v>
      </c>
      <c r="C97" s="5">
        <v>45753</v>
      </c>
      <c r="D97" t="s">
        <v>209</v>
      </c>
      <c r="E97" s="4" t="s">
        <v>205</v>
      </c>
      <c r="F97" t="s">
        <v>177</v>
      </c>
      <c r="G97" t="s">
        <v>181</v>
      </c>
      <c r="H97" t="s">
        <v>183</v>
      </c>
      <c r="I97">
        <v>2</v>
      </c>
      <c r="J97" s="6">
        <v>534.66999999999996</v>
      </c>
      <c r="K97" t="s">
        <v>188</v>
      </c>
      <c r="L97" s="6">
        <f>Table1[[#This Row],[Quantity]]*Table1[[#This Row],[UnitPrice]]</f>
        <v>1069.3399999999999</v>
      </c>
      <c r="M97" s="7">
        <f>IF(Table1[[#This Row],[Quantity]]&gt;5,5%*Table1[[#This Row],[TotalSales]],0)</f>
        <v>0</v>
      </c>
      <c r="N97" s="6">
        <f>Table1[[#This Row],[TotalSales]]-Table1[[#This Row],[Discount]]</f>
        <v>1069.3399999999999</v>
      </c>
      <c r="O97" s="10" t="str">
        <f>IF(Table1[[#This Row],[TotalSales]]&gt;3000,"High Value","Regular")</f>
        <v>Regular</v>
      </c>
      <c r="P97" s="11">
        <f>VLOOKUP(Table1[[#This Row],[Product]],Table2[],2)</f>
        <v>0.02</v>
      </c>
      <c r="Q97" s="6">
        <f>Table1[[#This Row],[TotalSales]]*Table1[[#This Row],[CommissionRate]]</f>
        <v>21.386799999999997</v>
      </c>
    </row>
    <row r="98" spans="1:17" x14ac:dyDescent="0.25">
      <c r="A98" t="s">
        <v>106</v>
      </c>
      <c r="B98" t="str">
        <f>TEXT(Table1[[#This Row],[ExactDate]],"mmm-yyyy")</f>
        <v>Apr-2025</v>
      </c>
      <c r="C98" s="5">
        <v>45754</v>
      </c>
      <c r="D98" t="s">
        <v>207</v>
      </c>
      <c r="E98" s="4" t="s">
        <v>205</v>
      </c>
      <c r="F98" t="s">
        <v>174</v>
      </c>
      <c r="G98" t="s">
        <v>182</v>
      </c>
      <c r="H98" t="s">
        <v>183</v>
      </c>
      <c r="I98">
        <v>6</v>
      </c>
      <c r="J98" s="6">
        <v>987.41</v>
      </c>
      <c r="K98" t="s">
        <v>188</v>
      </c>
      <c r="L98" s="6">
        <f>Table1[[#This Row],[Quantity]]*Table1[[#This Row],[UnitPrice]]</f>
        <v>5924.46</v>
      </c>
      <c r="M98" s="7">
        <f>IF(Table1[[#This Row],[Quantity]]&gt;5,5%*Table1[[#This Row],[TotalSales]],0)</f>
        <v>296.22300000000001</v>
      </c>
      <c r="N98" s="6">
        <f>Table1[[#This Row],[TotalSales]]-Table1[[#This Row],[Discount]]</f>
        <v>5628.2370000000001</v>
      </c>
      <c r="O98" s="10" t="str">
        <f>IF(Table1[[#This Row],[TotalSales]]&gt;3000,"High Value","Regular")</f>
        <v>High Value</v>
      </c>
      <c r="P98" s="11">
        <f>VLOOKUP(Table1[[#This Row],[Product]],Table2[],2)</f>
        <v>0.04</v>
      </c>
      <c r="Q98" s="6">
        <f>Table1[[#This Row],[TotalSales]]*Table1[[#This Row],[CommissionRate]]</f>
        <v>236.97839999999999</v>
      </c>
    </row>
    <row r="99" spans="1:17" x14ac:dyDescent="0.25">
      <c r="A99" t="s">
        <v>107</v>
      </c>
      <c r="B99" t="str">
        <f>TEXT(Table1[[#This Row],[ExactDate]],"mmm-yyyy")</f>
        <v>Apr-2025</v>
      </c>
      <c r="C99" s="5">
        <v>45755</v>
      </c>
      <c r="D99" t="s">
        <v>194</v>
      </c>
      <c r="E99" s="4" t="s">
        <v>206</v>
      </c>
      <c r="F99" t="s">
        <v>177</v>
      </c>
      <c r="G99" t="s">
        <v>181</v>
      </c>
      <c r="H99" t="s">
        <v>183</v>
      </c>
      <c r="I99">
        <v>3</v>
      </c>
      <c r="J99" s="6">
        <v>370.38</v>
      </c>
      <c r="K99" t="s">
        <v>188</v>
      </c>
      <c r="L99" s="6">
        <f>Table1[[#This Row],[Quantity]]*Table1[[#This Row],[UnitPrice]]</f>
        <v>1111.1399999999999</v>
      </c>
      <c r="M99" s="7">
        <f>IF(Table1[[#This Row],[Quantity]]&gt;5,5%*Table1[[#This Row],[TotalSales]],0)</f>
        <v>0</v>
      </c>
      <c r="N99" s="6">
        <f>Table1[[#This Row],[TotalSales]]-Table1[[#This Row],[Discount]]</f>
        <v>1111.1399999999999</v>
      </c>
      <c r="O99" s="10" t="str">
        <f>IF(Table1[[#This Row],[TotalSales]]&gt;3000,"High Value","Regular")</f>
        <v>Regular</v>
      </c>
      <c r="P99" s="11">
        <f>VLOOKUP(Table1[[#This Row],[Product]],Table2[],2)</f>
        <v>0.02</v>
      </c>
      <c r="Q99" s="6">
        <f>Table1[[#This Row],[TotalSales]]*Table1[[#This Row],[CommissionRate]]</f>
        <v>22.222799999999999</v>
      </c>
    </row>
    <row r="100" spans="1:17" x14ac:dyDescent="0.25">
      <c r="A100" t="s">
        <v>108</v>
      </c>
      <c r="B100" t="str">
        <f>TEXT(Table1[[#This Row],[ExactDate]],"mmm-yyyy")</f>
        <v>Apr-2025</v>
      </c>
      <c r="C100" s="5">
        <v>45756</v>
      </c>
      <c r="D100" t="s">
        <v>196</v>
      </c>
      <c r="E100" s="4" t="s">
        <v>199</v>
      </c>
      <c r="F100" t="s">
        <v>176</v>
      </c>
      <c r="G100" t="s">
        <v>182</v>
      </c>
      <c r="H100" t="s">
        <v>184</v>
      </c>
      <c r="I100">
        <v>1</v>
      </c>
      <c r="J100" s="6">
        <v>374.35</v>
      </c>
      <c r="K100" t="s">
        <v>189</v>
      </c>
      <c r="L100" s="6">
        <f>Table1[[#This Row],[Quantity]]*Table1[[#This Row],[UnitPrice]]</f>
        <v>374.35</v>
      </c>
      <c r="M100" s="7">
        <f>IF(Table1[[#This Row],[Quantity]]&gt;5,5%*Table1[[#This Row],[TotalSales]],0)</f>
        <v>0</v>
      </c>
      <c r="N100" s="6">
        <f>Table1[[#This Row],[TotalSales]]-Table1[[#This Row],[Discount]]</f>
        <v>374.35</v>
      </c>
      <c r="O100" s="10" t="str">
        <f>IF(Table1[[#This Row],[TotalSales]]&gt;3000,"High Value","Regular")</f>
        <v>Regular</v>
      </c>
      <c r="P100" s="11">
        <f>VLOOKUP(Table1[[#This Row],[Product]],Table2[],2)</f>
        <v>0.05</v>
      </c>
      <c r="Q100" s="6">
        <f>Table1[[#This Row],[TotalSales]]*Table1[[#This Row],[CommissionRate]]</f>
        <v>18.717500000000001</v>
      </c>
    </row>
    <row r="101" spans="1:17" x14ac:dyDescent="0.25">
      <c r="A101" t="s">
        <v>109</v>
      </c>
      <c r="B101" t="str">
        <f>TEXT(Table1[[#This Row],[ExactDate]],"mmm-yyyy")</f>
        <v>Apr-2025</v>
      </c>
      <c r="C101" s="5">
        <v>45757</v>
      </c>
      <c r="D101" t="s">
        <v>196</v>
      </c>
      <c r="E101" s="4" t="s">
        <v>204</v>
      </c>
      <c r="F101" t="s">
        <v>177</v>
      </c>
      <c r="G101" t="s">
        <v>181</v>
      </c>
      <c r="H101" t="s">
        <v>185</v>
      </c>
      <c r="I101">
        <v>8</v>
      </c>
      <c r="J101" s="6">
        <v>26.11</v>
      </c>
      <c r="K101" t="s">
        <v>187</v>
      </c>
      <c r="L101" s="6">
        <f>Table1[[#This Row],[Quantity]]*Table1[[#This Row],[UnitPrice]]</f>
        <v>208.88</v>
      </c>
      <c r="M101" s="7">
        <f>IF(Table1[[#This Row],[Quantity]]&gt;5,5%*Table1[[#This Row],[TotalSales]],0)</f>
        <v>10.444000000000001</v>
      </c>
      <c r="N101" s="6">
        <f>Table1[[#This Row],[TotalSales]]-Table1[[#This Row],[Discount]]</f>
        <v>198.43600000000001</v>
      </c>
      <c r="O101" s="10" t="str">
        <f>IF(Table1[[#This Row],[TotalSales]]&gt;3000,"High Value","Regular")</f>
        <v>Regular</v>
      </c>
      <c r="P101" s="11">
        <f>VLOOKUP(Table1[[#This Row],[Product]],Table2[],2)</f>
        <v>0.02</v>
      </c>
      <c r="Q101" s="6">
        <f>Table1[[#This Row],[TotalSales]]*Table1[[#This Row],[CommissionRate]]</f>
        <v>4.1776</v>
      </c>
    </row>
    <row r="102" spans="1:17" x14ac:dyDescent="0.25">
      <c r="C102" s="5"/>
      <c r="J102" s="6"/>
      <c r="L102" s="6"/>
      <c r="M102" s="7"/>
      <c r="N102" s="6"/>
      <c r="O102" s="10"/>
      <c r="P102" s="11"/>
      <c r="Q102" s="6"/>
    </row>
    <row r="103" spans="1:17" x14ac:dyDescent="0.25">
      <c r="L103" s="6"/>
    </row>
    <row r="105" spans="1:17" x14ac:dyDescent="0.25">
      <c r="K105" s="6"/>
    </row>
    <row r="106" spans="1:17" x14ac:dyDescent="0.25">
      <c r="K106" s="6"/>
    </row>
    <row r="107" spans="1:17" x14ac:dyDescent="0.25">
      <c r="K107" s="6"/>
    </row>
  </sheetData>
  <dataConsolidate/>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77D86-8334-4C35-B7CD-F8B0C3B4FEDC}">
  <dimension ref="A1:J104"/>
  <sheetViews>
    <sheetView topLeftCell="A68" workbookViewId="0">
      <selection activeCell="I116" sqref="I116"/>
    </sheetView>
  </sheetViews>
  <sheetFormatPr defaultRowHeight="15" x14ac:dyDescent="0.25"/>
  <cols>
    <col min="1" max="1" width="13.140625" bestFit="1" customWidth="1"/>
    <col min="2" max="2" width="18.28515625" bestFit="1" customWidth="1"/>
    <col min="3" max="3" width="16.140625" bestFit="1" customWidth="1"/>
    <col min="4" max="4" width="12.140625" bestFit="1" customWidth="1"/>
    <col min="5" max="5" width="11.28515625" bestFit="1" customWidth="1"/>
    <col min="6" max="6" width="7.140625" bestFit="1" customWidth="1"/>
    <col min="7" max="7" width="8.7109375" bestFit="1" customWidth="1"/>
    <col min="8" max="8" width="9.28515625" bestFit="1" customWidth="1"/>
    <col min="9" max="9" width="16.140625" bestFit="1" customWidth="1"/>
    <col min="10" max="10" width="10"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s="2">
        <v>45658</v>
      </c>
      <c r="C2" t="s">
        <v>110</v>
      </c>
      <c r="D2" t="s">
        <v>171</v>
      </c>
      <c r="E2" t="s">
        <v>182</v>
      </c>
      <c r="F2" t="s">
        <v>183</v>
      </c>
      <c r="G2">
        <v>5</v>
      </c>
      <c r="H2">
        <v>862.79</v>
      </c>
      <c r="I2" t="s">
        <v>187</v>
      </c>
      <c r="J2">
        <v>4313.95</v>
      </c>
    </row>
    <row r="3" spans="1:10" x14ac:dyDescent="0.25">
      <c r="A3" t="s">
        <v>11</v>
      </c>
      <c r="B3" s="2">
        <v>45659</v>
      </c>
      <c r="C3" t="s">
        <v>111</v>
      </c>
      <c r="D3" t="s">
        <v>172</v>
      </c>
      <c r="E3" t="s">
        <v>181</v>
      </c>
      <c r="F3" t="s">
        <v>184</v>
      </c>
      <c r="G3">
        <v>9</v>
      </c>
      <c r="H3">
        <v>724.57</v>
      </c>
      <c r="I3" t="s">
        <v>188</v>
      </c>
      <c r="J3">
        <v>6521.13</v>
      </c>
    </row>
    <row r="4" spans="1:10" x14ac:dyDescent="0.25">
      <c r="A4" t="s">
        <v>12</v>
      </c>
      <c r="B4" s="2">
        <v>45660</v>
      </c>
      <c r="C4" t="s">
        <v>112</v>
      </c>
      <c r="D4" t="s">
        <v>173</v>
      </c>
      <c r="E4" t="s">
        <v>182</v>
      </c>
      <c r="F4" t="s">
        <v>184</v>
      </c>
      <c r="G4">
        <v>9</v>
      </c>
      <c r="H4">
        <v>194.17</v>
      </c>
      <c r="I4" t="s">
        <v>189</v>
      </c>
      <c r="J4">
        <v>1747.53</v>
      </c>
    </row>
    <row r="5" spans="1:10" x14ac:dyDescent="0.25">
      <c r="A5" t="s">
        <v>13</v>
      </c>
      <c r="B5" s="2">
        <v>45661</v>
      </c>
      <c r="C5" t="s">
        <v>113</v>
      </c>
      <c r="D5" t="s">
        <v>174</v>
      </c>
      <c r="E5" t="s">
        <v>182</v>
      </c>
      <c r="F5" t="s">
        <v>183</v>
      </c>
      <c r="G5">
        <v>3</v>
      </c>
      <c r="H5">
        <v>627.59</v>
      </c>
      <c r="I5" t="s">
        <v>187</v>
      </c>
      <c r="J5">
        <v>1882.77</v>
      </c>
    </row>
    <row r="6" spans="1:10" x14ac:dyDescent="0.25">
      <c r="A6" t="s">
        <v>14</v>
      </c>
      <c r="B6" s="2">
        <v>45662</v>
      </c>
      <c r="C6" t="s">
        <v>114</v>
      </c>
      <c r="D6" t="s">
        <v>175</v>
      </c>
      <c r="E6" t="s">
        <v>182</v>
      </c>
      <c r="F6" t="s">
        <v>183</v>
      </c>
      <c r="G6">
        <v>9</v>
      </c>
      <c r="H6">
        <v>801.96</v>
      </c>
      <c r="I6" t="s">
        <v>187</v>
      </c>
      <c r="J6">
        <v>7217.64</v>
      </c>
    </row>
    <row r="7" spans="1:10" x14ac:dyDescent="0.25">
      <c r="A7" t="s">
        <v>15</v>
      </c>
      <c r="B7" s="2">
        <v>45663</v>
      </c>
      <c r="C7" t="s">
        <v>115</v>
      </c>
      <c r="D7" t="s">
        <v>173</v>
      </c>
      <c r="E7" t="s">
        <v>182</v>
      </c>
      <c r="F7" t="s">
        <v>185</v>
      </c>
      <c r="G7">
        <v>8</v>
      </c>
      <c r="H7">
        <v>509.95</v>
      </c>
      <c r="I7" t="s">
        <v>188</v>
      </c>
      <c r="J7">
        <v>4079.6</v>
      </c>
    </row>
    <row r="8" spans="1:10" x14ac:dyDescent="0.25">
      <c r="A8" t="s">
        <v>16</v>
      </c>
      <c r="B8" s="2">
        <v>45664</v>
      </c>
      <c r="D8" t="s">
        <v>175</v>
      </c>
      <c r="E8" t="s">
        <v>182</v>
      </c>
      <c r="F8" t="s">
        <v>183</v>
      </c>
      <c r="G8">
        <v>8</v>
      </c>
      <c r="H8">
        <v>31.78</v>
      </c>
      <c r="I8" t="s">
        <v>187</v>
      </c>
      <c r="J8">
        <v>254.24</v>
      </c>
    </row>
    <row r="9" spans="1:10" x14ac:dyDescent="0.25">
      <c r="A9" t="s">
        <v>17</v>
      </c>
      <c r="B9" s="2">
        <v>45665</v>
      </c>
      <c r="C9" t="s">
        <v>116</v>
      </c>
      <c r="D9" t="s">
        <v>175</v>
      </c>
      <c r="E9" t="s">
        <v>182</v>
      </c>
      <c r="F9" t="s">
        <v>183</v>
      </c>
      <c r="G9">
        <v>7</v>
      </c>
      <c r="H9">
        <v>841.31</v>
      </c>
      <c r="I9" t="s">
        <v>187</v>
      </c>
      <c r="J9">
        <v>5889.17</v>
      </c>
    </row>
    <row r="10" spans="1:10" x14ac:dyDescent="0.25">
      <c r="A10" t="s">
        <v>18</v>
      </c>
      <c r="B10" s="2">
        <v>45666</v>
      </c>
      <c r="D10" t="s">
        <v>176</v>
      </c>
      <c r="E10" t="s">
        <v>182</v>
      </c>
      <c r="F10" t="s">
        <v>186</v>
      </c>
      <c r="G10">
        <v>9</v>
      </c>
      <c r="H10">
        <v>583.19000000000005</v>
      </c>
      <c r="I10" t="s">
        <v>187</v>
      </c>
      <c r="J10">
        <v>5248.7100000000009</v>
      </c>
    </row>
    <row r="11" spans="1:10" x14ac:dyDescent="0.25">
      <c r="A11" t="s">
        <v>19</v>
      </c>
      <c r="B11" s="2">
        <v>45667</v>
      </c>
      <c r="C11" t="s">
        <v>117</v>
      </c>
      <c r="D11" t="s">
        <v>177</v>
      </c>
      <c r="E11" t="s">
        <v>181</v>
      </c>
      <c r="F11" t="s">
        <v>184</v>
      </c>
      <c r="G11">
        <v>7</v>
      </c>
      <c r="H11">
        <v>27.3</v>
      </c>
      <c r="I11" t="s">
        <v>188</v>
      </c>
      <c r="J11">
        <v>191.1</v>
      </c>
    </row>
    <row r="12" spans="1:10" x14ac:dyDescent="0.25">
      <c r="A12" t="s">
        <v>20</v>
      </c>
      <c r="B12" s="2">
        <v>45668</v>
      </c>
      <c r="D12" t="s">
        <v>173</v>
      </c>
      <c r="E12" t="s">
        <v>182</v>
      </c>
      <c r="F12" t="s">
        <v>183</v>
      </c>
      <c r="G12">
        <v>4</v>
      </c>
      <c r="H12">
        <v>838.56</v>
      </c>
      <c r="I12" t="s">
        <v>189</v>
      </c>
      <c r="J12">
        <v>3354.24</v>
      </c>
    </row>
    <row r="13" spans="1:10" x14ac:dyDescent="0.25">
      <c r="A13" t="s">
        <v>21</v>
      </c>
      <c r="B13" s="2">
        <v>45669</v>
      </c>
      <c r="C13" t="s">
        <v>118</v>
      </c>
      <c r="D13" t="s">
        <v>172</v>
      </c>
      <c r="E13" t="s">
        <v>181</v>
      </c>
      <c r="F13" t="s">
        <v>186</v>
      </c>
      <c r="G13">
        <v>3</v>
      </c>
      <c r="H13">
        <v>926.66</v>
      </c>
      <c r="I13" t="s">
        <v>187</v>
      </c>
      <c r="J13">
        <v>2779.98</v>
      </c>
    </row>
    <row r="14" spans="1:10" x14ac:dyDescent="0.25">
      <c r="A14" t="s">
        <v>22</v>
      </c>
      <c r="B14" s="2">
        <v>45670</v>
      </c>
      <c r="C14" t="s">
        <v>119</v>
      </c>
      <c r="D14" t="s">
        <v>178</v>
      </c>
      <c r="E14" t="s">
        <v>181</v>
      </c>
      <c r="F14" t="s">
        <v>186</v>
      </c>
      <c r="G14">
        <v>4</v>
      </c>
      <c r="H14">
        <v>640.96</v>
      </c>
      <c r="I14" t="s">
        <v>189</v>
      </c>
      <c r="J14">
        <v>2563.84</v>
      </c>
    </row>
    <row r="15" spans="1:10" x14ac:dyDescent="0.25">
      <c r="A15" t="s">
        <v>23</v>
      </c>
      <c r="B15" s="2">
        <v>45671</v>
      </c>
      <c r="C15" t="s">
        <v>120</v>
      </c>
      <c r="D15" t="s">
        <v>172</v>
      </c>
      <c r="E15" t="s">
        <v>181</v>
      </c>
      <c r="F15" t="s">
        <v>183</v>
      </c>
      <c r="G15">
        <v>10</v>
      </c>
      <c r="H15">
        <v>928.38</v>
      </c>
      <c r="I15" t="s">
        <v>188</v>
      </c>
      <c r="J15">
        <v>9283.7999999999993</v>
      </c>
    </row>
    <row r="16" spans="1:10" x14ac:dyDescent="0.25">
      <c r="A16" t="s">
        <v>24</v>
      </c>
      <c r="B16" s="2">
        <v>45672</v>
      </c>
      <c r="C16" t="s">
        <v>121</v>
      </c>
      <c r="D16" t="s">
        <v>174</v>
      </c>
      <c r="E16" t="s">
        <v>182</v>
      </c>
      <c r="F16" t="s">
        <v>184</v>
      </c>
      <c r="G16">
        <v>7</v>
      </c>
      <c r="H16">
        <v>541.32000000000005</v>
      </c>
      <c r="I16" t="s">
        <v>189</v>
      </c>
      <c r="J16">
        <v>3789.24</v>
      </c>
    </row>
    <row r="17" spans="1:10" x14ac:dyDescent="0.25">
      <c r="A17" t="s">
        <v>25</v>
      </c>
      <c r="B17" s="2">
        <v>45673</v>
      </c>
      <c r="C17" t="s">
        <v>122</v>
      </c>
      <c r="D17" t="s">
        <v>175</v>
      </c>
      <c r="E17" t="s">
        <v>182</v>
      </c>
      <c r="F17" t="s">
        <v>184</v>
      </c>
      <c r="G17">
        <v>6</v>
      </c>
      <c r="H17">
        <v>727.07</v>
      </c>
      <c r="I17" t="s">
        <v>187</v>
      </c>
      <c r="J17">
        <v>4362.42</v>
      </c>
    </row>
    <row r="18" spans="1:10" x14ac:dyDescent="0.25">
      <c r="A18" t="s">
        <v>26</v>
      </c>
      <c r="B18" s="2">
        <v>45674</v>
      </c>
      <c r="C18" t="s">
        <v>123</v>
      </c>
      <c r="D18" t="s">
        <v>176</v>
      </c>
      <c r="E18" t="s">
        <v>182</v>
      </c>
      <c r="F18" t="s">
        <v>183</v>
      </c>
      <c r="G18">
        <v>2</v>
      </c>
      <c r="H18">
        <v>653.79</v>
      </c>
      <c r="I18" t="s">
        <v>187</v>
      </c>
      <c r="J18">
        <v>1307.58</v>
      </c>
    </row>
    <row r="19" spans="1:10" x14ac:dyDescent="0.25">
      <c r="A19" t="s">
        <v>27</v>
      </c>
      <c r="B19" s="2">
        <v>45675</v>
      </c>
      <c r="C19" t="s">
        <v>119</v>
      </c>
      <c r="D19" t="s">
        <v>173</v>
      </c>
      <c r="E19" t="s">
        <v>182</v>
      </c>
      <c r="F19" t="s">
        <v>185</v>
      </c>
      <c r="G19">
        <v>2</v>
      </c>
      <c r="H19">
        <v>975.61</v>
      </c>
      <c r="I19" t="s">
        <v>187</v>
      </c>
      <c r="J19">
        <v>1951.22</v>
      </c>
    </row>
    <row r="20" spans="1:10" x14ac:dyDescent="0.25">
      <c r="A20" t="s">
        <v>28</v>
      </c>
      <c r="B20" s="2">
        <v>45676</v>
      </c>
      <c r="C20" t="s">
        <v>124</v>
      </c>
      <c r="D20" t="s">
        <v>173</v>
      </c>
      <c r="E20" t="s">
        <v>182</v>
      </c>
      <c r="F20" t="s">
        <v>184</v>
      </c>
      <c r="G20">
        <v>5</v>
      </c>
      <c r="H20">
        <v>863.74</v>
      </c>
      <c r="I20" t="s">
        <v>189</v>
      </c>
      <c r="J20">
        <v>4318.7</v>
      </c>
    </row>
    <row r="21" spans="1:10" x14ac:dyDescent="0.25">
      <c r="A21" t="s">
        <v>29</v>
      </c>
      <c r="B21" s="2">
        <v>45677</v>
      </c>
      <c r="C21" t="s">
        <v>125</v>
      </c>
      <c r="D21" t="s">
        <v>179</v>
      </c>
      <c r="E21" t="s">
        <v>181</v>
      </c>
      <c r="F21" t="s">
        <v>185</v>
      </c>
      <c r="G21">
        <v>4</v>
      </c>
      <c r="H21">
        <v>246.59</v>
      </c>
      <c r="I21" t="s">
        <v>188</v>
      </c>
      <c r="J21">
        <v>986.36</v>
      </c>
    </row>
    <row r="22" spans="1:10" x14ac:dyDescent="0.25">
      <c r="A22" t="s">
        <v>30</v>
      </c>
      <c r="B22" s="2">
        <v>45678</v>
      </c>
      <c r="C22" t="s">
        <v>126</v>
      </c>
      <c r="D22" t="s">
        <v>176</v>
      </c>
      <c r="E22" t="s">
        <v>182</v>
      </c>
      <c r="F22" t="s">
        <v>185</v>
      </c>
      <c r="G22">
        <v>5</v>
      </c>
      <c r="H22">
        <v>149.41999999999999</v>
      </c>
      <c r="I22" t="s">
        <v>188</v>
      </c>
      <c r="J22">
        <v>747.09999999999991</v>
      </c>
    </row>
    <row r="23" spans="1:10" x14ac:dyDescent="0.25">
      <c r="A23" t="s">
        <v>31</v>
      </c>
      <c r="B23" s="2">
        <v>45679</v>
      </c>
      <c r="C23" t="s">
        <v>127</v>
      </c>
      <c r="D23" t="s">
        <v>179</v>
      </c>
      <c r="E23" t="s">
        <v>181</v>
      </c>
      <c r="F23" t="s">
        <v>184</v>
      </c>
      <c r="G23">
        <v>7</v>
      </c>
      <c r="H23">
        <v>151.01</v>
      </c>
      <c r="I23" t="s">
        <v>187</v>
      </c>
      <c r="J23">
        <v>1057.07</v>
      </c>
    </row>
    <row r="24" spans="1:10" x14ac:dyDescent="0.25">
      <c r="A24" t="s">
        <v>32</v>
      </c>
      <c r="B24" s="2">
        <v>45680</v>
      </c>
      <c r="C24" t="s">
        <v>128</v>
      </c>
      <c r="D24" t="s">
        <v>173</v>
      </c>
      <c r="E24" t="s">
        <v>182</v>
      </c>
      <c r="F24" t="s">
        <v>183</v>
      </c>
      <c r="G24">
        <v>8</v>
      </c>
      <c r="H24">
        <v>415.07</v>
      </c>
      <c r="I24" t="s">
        <v>188</v>
      </c>
      <c r="J24">
        <v>3320.56</v>
      </c>
    </row>
    <row r="25" spans="1:10" x14ac:dyDescent="0.25">
      <c r="A25" t="s">
        <v>33</v>
      </c>
      <c r="B25" s="2">
        <v>45681</v>
      </c>
      <c r="C25" t="s">
        <v>111</v>
      </c>
      <c r="D25" t="s">
        <v>179</v>
      </c>
      <c r="E25" t="s">
        <v>181</v>
      </c>
      <c r="F25" t="s">
        <v>183</v>
      </c>
      <c r="G25">
        <v>5</v>
      </c>
      <c r="H25">
        <v>394.67</v>
      </c>
      <c r="I25" t="s">
        <v>187</v>
      </c>
      <c r="J25">
        <v>1973.35</v>
      </c>
    </row>
    <row r="26" spans="1:10" x14ac:dyDescent="0.25">
      <c r="A26" t="s">
        <v>34</v>
      </c>
      <c r="B26" s="2">
        <v>45682</v>
      </c>
      <c r="C26" t="s">
        <v>127</v>
      </c>
      <c r="D26" t="s">
        <v>173</v>
      </c>
      <c r="E26" t="s">
        <v>182</v>
      </c>
      <c r="F26" t="s">
        <v>185</v>
      </c>
      <c r="G26">
        <v>8</v>
      </c>
      <c r="H26">
        <v>872.66</v>
      </c>
      <c r="I26" t="s">
        <v>189</v>
      </c>
      <c r="J26">
        <v>6981.28</v>
      </c>
    </row>
    <row r="27" spans="1:10" x14ac:dyDescent="0.25">
      <c r="A27" t="s">
        <v>35</v>
      </c>
      <c r="B27" s="2">
        <v>45683</v>
      </c>
      <c r="C27" t="s">
        <v>125</v>
      </c>
      <c r="D27" t="s">
        <v>174</v>
      </c>
      <c r="E27" t="s">
        <v>182</v>
      </c>
      <c r="F27" t="s">
        <v>185</v>
      </c>
      <c r="G27">
        <v>7</v>
      </c>
      <c r="H27">
        <v>548.6</v>
      </c>
      <c r="I27" t="s">
        <v>189</v>
      </c>
      <c r="J27">
        <v>3840.2</v>
      </c>
    </row>
    <row r="28" spans="1:10" x14ac:dyDescent="0.25">
      <c r="A28" t="s">
        <v>36</v>
      </c>
      <c r="B28" s="2">
        <v>45684</v>
      </c>
      <c r="C28" t="s">
        <v>129</v>
      </c>
      <c r="D28" t="s">
        <v>174</v>
      </c>
      <c r="E28" t="s">
        <v>182</v>
      </c>
      <c r="F28" t="s">
        <v>186</v>
      </c>
      <c r="G28">
        <v>5</v>
      </c>
      <c r="H28">
        <v>847.91</v>
      </c>
      <c r="I28" t="s">
        <v>187</v>
      </c>
      <c r="J28">
        <v>4239.55</v>
      </c>
    </row>
    <row r="29" spans="1:10" x14ac:dyDescent="0.25">
      <c r="A29" t="s">
        <v>37</v>
      </c>
      <c r="B29" s="2">
        <v>45685</v>
      </c>
      <c r="C29" t="s">
        <v>130</v>
      </c>
      <c r="D29" t="s">
        <v>173</v>
      </c>
      <c r="E29" t="s">
        <v>182</v>
      </c>
      <c r="F29" t="s">
        <v>185</v>
      </c>
      <c r="G29">
        <v>6</v>
      </c>
      <c r="H29">
        <v>235.22</v>
      </c>
      <c r="I29" t="s">
        <v>189</v>
      </c>
      <c r="J29">
        <v>1411.32</v>
      </c>
    </row>
    <row r="30" spans="1:10" x14ac:dyDescent="0.25">
      <c r="A30" t="s">
        <v>38</v>
      </c>
      <c r="B30" s="2">
        <v>45686</v>
      </c>
      <c r="C30" t="s">
        <v>131</v>
      </c>
      <c r="D30" t="s">
        <v>177</v>
      </c>
      <c r="E30" t="s">
        <v>181</v>
      </c>
      <c r="F30" t="s">
        <v>186</v>
      </c>
      <c r="G30">
        <v>7</v>
      </c>
      <c r="H30">
        <v>128.78</v>
      </c>
      <c r="I30" t="s">
        <v>187</v>
      </c>
      <c r="J30">
        <v>901.46</v>
      </c>
    </row>
    <row r="31" spans="1:10" x14ac:dyDescent="0.25">
      <c r="A31" t="s">
        <v>39</v>
      </c>
      <c r="B31" s="2">
        <v>45687</v>
      </c>
      <c r="C31" t="s">
        <v>132</v>
      </c>
      <c r="D31" t="s">
        <v>179</v>
      </c>
      <c r="E31" t="s">
        <v>181</v>
      </c>
      <c r="F31" t="s">
        <v>183</v>
      </c>
      <c r="G31">
        <v>1</v>
      </c>
      <c r="H31">
        <v>618.27</v>
      </c>
      <c r="I31" t="s">
        <v>189</v>
      </c>
      <c r="J31">
        <v>618.27</v>
      </c>
    </row>
    <row r="32" spans="1:10" x14ac:dyDescent="0.25">
      <c r="A32" t="s">
        <v>40</v>
      </c>
      <c r="B32" s="2">
        <v>45688</v>
      </c>
      <c r="C32" t="s">
        <v>133</v>
      </c>
      <c r="D32" t="s">
        <v>175</v>
      </c>
      <c r="E32" t="s">
        <v>182</v>
      </c>
      <c r="F32" t="s">
        <v>183</v>
      </c>
      <c r="G32">
        <v>4</v>
      </c>
      <c r="H32">
        <v>661.2</v>
      </c>
      <c r="I32" t="s">
        <v>189</v>
      </c>
      <c r="J32">
        <v>2644.8</v>
      </c>
    </row>
    <row r="33" spans="1:10" x14ac:dyDescent="0.25">
      <c r="A33" t="s">
        <v>41</v>
      </c>
      <c r="B33" s="2">
        <v>45689</v>
      </c>
      <c r="C33" t="s">
        <v>129</v>
      </c>
      <c r="D33" t="s">
        <v>180</v>
      </c>
      <c r="E33" t="s">
        <v>181</v>
      </c>
      <c r="F33" t="s">
        <v>183</v>
      </c>
      <c r="G33">
        <v>2</v>
      </c>
      <c r="H33">
        <v>465.33</v>
      </c>
      <c r="I33" t="s">
        <v>188</v>
      </c>
      <c r="J33">
        <v>930.66</v>
      </c>
    </row>
    <row r="34" spans="1:10" x14ac:dyDescent="0.25">
      <c r="A34" t="s">
        <v>42</v>
      </c>
      <c r="B34" s="2">
        <v>45690</v>
      </c>
      <c r="C34" t="s">
        <v>115</v>
      </c>
      <c r="D34" t="s">
        <v>177</v>
      </c>
      <c r="E34" t="s">
        <v>181</v>
      </c>
      <c r="F34" t="s">
        <v>186</v>
      </c>
      <c r="G34">
        <v>8</v>
      </c>
      <c r="H34">
        <v>50.31</v>
      </c>
      <c r="I34" t="s">
        <v>187</v>
      </c>
      <c r="J34">
        <v>402.48</v>
      </c>
    </row>
    <row r="35" spans="1:10" x14ac:dyDescent="0.25">
      <c r="A35" t="s">
        <v>43</v>
      </c>
      <c r="B35" s="2">
        <v>45691</v>
      </c>
      <c r="C35" t="s">
        <v>134</v>
      </c>
      <c r="D35" t="s">
        <v>174</v>
      </c>
      <c r="E35" t="s">
        <v>182</v>
      </c>
      <c r="F35" t="s">
        <v>184</v>
      </c>
      <c r="G35">
        <v>10</v>
      </c>
      <c r="H35">
        <v>685.63</v>
      </c>
      <c r="I35" t="s">
        <v>187</v>
      </c>
      <c r="J35">
        <v>6856.3</v>
      </c>
    </row>
    <row r="36" spans="1:10" x14ac:dyDescent="0.25">
      <c r="A36" t="s">
        <v>44</v>
      </c>
      <c r="B36" s="2">
        <v>45692</v>
      </c>
      <c r="C36" t="s">
        <v>135</v>
      </c>
      <c r="D36" t="s">
        <v>171</v>
      </c>
      <c r="E36" t="s">
        <v>182</v>
      </c>
      <c r="F36" t="s">
        <v>185</v>
      </c>
      <c r="G36">
        <v>4</v>
      </c>
      <c r="H36">
        <v>465.85</v>
      </c>
      <c r="I36" t="s">
        <v>189</v>
      </c>
      <c r="J36">
        <v>1863.4</v>
      </c>
    </row>
    <row r="37" spans="1:10" x14ac:dyDescent="0.25">
      <c r="A37" t="s">
        <v>45</v>
      </c>
      <c r="B37" s="2">
        <v>45693</v>
      </c>
      <c r="C37" t="s">
        <v>136</v>
      </c>
      <c r="D37" t="s">
        <v>178</v>
      </c>
      <c r="E37" t="s">
        <v>181</v>
      </c>
      <c r="F37" t="s">
        <v>185</v>
      </c>
      <c r="G37">
        <v>5</v>
      </c>
      <c r="H37">
        <v>42.3</v>
      </c>
      <c r="I37" t="s">
        <v>187</v>
      </c>
      <c r="J37">
        <v>211.5</v>
      </c>
    </row>
    <row r="38" spans="1:10" x14ac:dyDescent="0.25">
      <c r="A38" t="s">
        <v>46</v>
      </c>
      <c r="B38" s="2">
        <v>45694</v>
      </c>
      <c r="C38" t="s">
        <v>130</v>
      </c>
      <c r="D38" t="s">
        <v>172</v>
      </c>
      <c r="E38" t="s">
        <v>181</v>
      </c>
      <c r="F38" t="s">
        <v>186</v>
      </c>
      <c r="G38">
        <v>1</v>
      </c>
      <c r="H38">
        <v>77.37</v>
      </c>
      <c r="I38" t="s">
        <v>188</v>
      </c>
      <c r="J38">
        <v>77.37</v>
      </c>
    </row>
    <row r="39" spans="1:10" x14ac:dyDescent="0.25">
      <c r="A39" t="s">
        <v>47</v>
      </c>
      <c r="B39" s="2">
        <v>45695</v>
      </c>
      <c r="C39" t="s">
        <v>137</v>
      </c>
      <c r="D39" t="s">
        <v>175</v>
      </c>
      <c r="E39" t="s">
        <v>182</v>
      </c>
      <c r="F39" t="s">
        <v>184</v>
      </c>
      <c r="G39">
        <v>7</v>
      </c>
      <c r="H39">
        <v>925.68</v>
      </c>
      <c r="I39" t="s">
        <v>187</v>
      </c>
      <c r="J39">
        <v>6479.7599999999993</v>
      </c>
    </row>
    <row r="40" spans="1:10" x14ac:dyDescent="0.25">
      <c r="A40" t="s">
        <v>48</v>
      </c>
      <c r="B40" s="2">
        <v>45696</v>
      </c>
      <c r="C40" t="s">
        <v>138</v>
      </c>
      <c r="D40" t="s">
        <v>180</v>
      </c>
      <c r="E40" t="s">
        <v>181</v>
      </c>
      <c r="F40" t="s">
        <v>183</v>
      </c>
      <c r="G40">
        <v>3</v>
      </c>
      <c r="H40">
        <v>461.37</v>
      </c>
      <c r="I40" t="s">
        <v>188</v>
      </c>
      <c r="J40">
        <v>1384.11</v>
      </c>
    </row>
    <row r="41" spans="1:10" x14ac:dyDescent="0.25">
      <c r="A41" t="s">
        <v>49</v>
      </c>
      <c r="B41" s="2">
        <v>45697</v>
      </c>
      <c r="C41" t="s">
        <v>139</v>
      </c>
      <c r="D41" t="s">
        <v>174</v>
      </c>
      <c r="E41" t="s">
        <v>182</v>
      </c>
      <c r="F41" t="s">
        <v>184</v>
      </c>
      <c r="G41">
        <v>7</v>
      </c>
      <c r="H41">
        <v>786.23</v>
      </c>
      <c r="I41" t="s">
        <v>188</v>
      </c>
      <c r="J41">
        <v>5503.6100000000006</v>
      </c>
    </row>
    <row r="42" spans="1:10" x14ac:dyDescent="0.25">
      <c r="A42" t="s">
        <v>50</v>
      </c>
      <c r="B42" s="2">
        <v>45698</v>
      </c>
      <c r="C42" t="s">
        <v>120</v>
      </c>
      <c r="D42" t="s">
        <v>180</v>
      </c>
      <c r="E42" t="s">
        <v>181</v>
      </c>
      <c r="F42" t="s">
        <v>185</v>
      </c>
      <c r="G42">
        <v>7</v>
      </c>
      <c r="H42">
        <v>418.54</v>
      </c>
      <c r="I42" t="s">
        <v>187</v>
      </c>
      <c r="J42">
        <v>2929.78</v>
      </c>
    </row>
    <row r="43" spans="1:10" x14ac:dyDescent="0.25">
      <c r="A43" t="s">
        <v>51</v>
      </c>
      <c r="B43" s="2">
        <v>45699</v>
      </c>
      <c r="C43" t="s">
        <v>117</v>
      </c>
      <c r="D43" t="s">
        <v>175</v>
      </c>
      <c r="E43" t="s">
        <v>182</v>
      </c>
      <c r="F43" t="s">
        <v>184</v>
      </c>
      <c r="G43">
        <v>8</v>
      </c>
      <c r="H43">
        <v>29.07</v>
      </c>
      <c r="I43" t="s">
        <v>188</v>
      </c>
      <c r="J43">
        <v>232.56</v>
      </c>
    </row>
    <row r="44" spans="1:10" x14ac:dyDescent="0.25">
      <c r="A44" t="s">
        <v>52</v>
      </c>
      <c r="B44" s="2">
        <v>45700</v>
      </c>
      <c r="C44" t="s">
        <v>140</v>
      </c>
      <c r="D44" t="s">
        <v>176</v>
      </c>
      <c r="E44" t="s">
        <v>182</v>
      </c>
      <c r="F44" t="s">
        <v>184</v>
      </c>
      <c r="G44">
        <v>10</v>
      </c>
      <c r="H44">
        <v>520.15</v>
      </c>
      <c r="I44" t="s">
        <v>187</v>
      </c>
      <c r="J44">
        <v>5201.5</v>
      </c>
    </row>
    <row r="45" spans="1:10" x14ac:dyDescent="0.25">
      <c r="A45" t="s">
        <v>53</v>
      </c>
      <c r="B45" s="2">
        <v>45701</v>
      </c>
      <c r="C45" t="s">
        <v>110</v>
      </c>
      <c r="D45" t="s">
        <v>178</v>
      </c>
      <c r="E45" t="s">
        <v>181</v>
      </c>
      <c r="F45" t="s">
        <v>184</v>
      </c>
      <c r="G45">
        <v>8</v>
      </c>
      <c r="H45">
        <v>958.1</v>
      </c>
      <c r="I45" t="s">
        <v>188</v>
      </c>
      <c r="J45">
        <v>7664.8</v>
      </c>
    </row>
    <row r="46" spans="1:10" x14ac:dyDescent="0.25">
      <c r="A46" t="s">
        <v>54</v>
      </c>
      <c r="B46" s="2">
        <v>45702</v>
      </c>
      <c r="C46" t="s">
        <v>141</v>
      </c>
      <c r="D46" t="s">
        <v>179</v>
      </c>
      <c r="E46" t="s">
        <v>181</v>
      </c>
      <c r="F46" t="s">
        <v>184</v>
      </c>
      <c r="G46">
        <v>4</v>
      </c>
      <c r="H46">
        <v>437.38</v>
      </c>
      <c r="I46" t="s">
        <v>187</v>
      </c>
      <c r="J46">
        <v>1749.52</v>
      </c>
    </row>
    <row r="47" spans="1:10" x14ac:dyDescent="0.25">
      <c r="A47" t="s">
        <v>55</v>
      </c>
      <c r="B47" s="2">
        <v>45703</v>
      </c>
      <c r="C47" t="s">
        <v>142</v>
      </c>
      <c r="D47" t="s">
        <v>176</v>
      </c>
      <c r="E47" t="s">
        <v>182</v>
      </c>
      <c r="F47" t="s">
        <v>183</v>
      </c>
      <c r="G47">
        <v>1</v>
      </c>
      <c r="H47">
        <v>740.96</v>
      </c>
      <c r="I47" t="s">
        <v>189</v>
      </c>
      <c r="J47">
        <v>740.96</v>
      </c>
    </row>
    <row r="48" spans="1:10" x14ac:dyDescent="0.25">
      <c r="A48" t="s">
        <v>56</v>
      </c>
      <c r="B48" s="2">
        <v>45704</v>
      </c>
      <c r="C48" t="s">
        <v>116</v>
      </c>
      <c r="D48" t="s">
        <v>176</v>
      </c>
      <c r="E48" t="s">
        <v>182</v>
      </c>
      <c r="F48" t="s">
        <v>185</v>
      </c>
      <c r="G48">
        <v>9</v>
      </c>
      <c r="H48">
        <v>149.72999999999999</v>
      </c>
      <c r="I48" t="s">
        <v>189</v>
      </c>
      <c r="J48">
        <v>1347.57</v>
      </c>
    </row>
    <row r="49" spans="1:10" x14ac:dyDescent="0.25">
      <c r="A49" t="s">
        <v>57</v>
      </c>
      <c r="B49" s="2">
        <v>45705</v>
      </c>
      <c r="C49" t="s">
        <v>121</v>
      </c>
      <c r="D49" t="s">
        <v>178</v>
      </c>
      <c r="E49" t="s">
        <v>181</v>
      </c>
      <c r="F49" t="s">
        <v>184</v>
      </c>
      <c r="G49">
        <v>8</v>
      </c>
      <c r="H49">
        <v>206.32</v>
      </c>
      <c r="I49" t="s">
        <v>187</v>
      </c>
      <c r="J49">
        <v>1650.56</v>
      </c>
    </row>
    <row r="50" spans="1:10" x14ac:dyDescent="0.25">
      <c r="A50" t="s">
        <v>58</v>
      </c>
      <c r="B50" s="2">
        <v>45706</v>
      </c>
      <c r="C50" t="s">
        <v>132</v>
      </c>
      <c r="D50" t="s">
        <v>171</v>
      </c>
      <c r="E50" t="s">
        <v>182</v>
      </c>
      <c r="F50" t="s">
        <v>184</v>
      </c>
      <c r="G50">
        <v>1</v>
      </c>
      <c r="H50">
        <v>725.86</v>
      </c>
      <c r="I50" t="s">
        <v>187</v>
      </c>
      <c r="J50">
        <v>725.86</v>
      </c>
    </row>
    <row r="51" spans="1:10" x14ac:dyDescent="0.25">
      <c r="A51" t="s">
        <v>59</v>
      </c>
      <c r="B51" s="2">
        <v>45707</v>
      </c>
      <c r="C51" t="s">
        <v>143</v>
      </c>
      <c r="D51" t="s">
        <v>177</v>
      </c>
      <c r="E51" t="s">
        <v>181</v>
      </c>
      <c r="F51" t="s">
        <v>185</v>
      </c>
      <c r="G51">
        <v>9</v>
      </c>
      <c r="H51">
        <v>437.51</v>
      </c>
      <c r="I51" t="s">
        <v>188</v>
      </c>
      <c r="J51">
        <v>3937.59</v>
      </c>
    </row>
    <row r="52" spans="1:10" x14ac:dyDescent="0.25">
      <c r="A52" t="s">
        <v>60</v>
      </c>
      <c r="B52" s="2">
        <v>45708</v>
      </c>
      <c r="C52" t="s">
        <v>144</v>
      </c>
      <c r="D52" t="s">
        <v>175</v>
      </c>
      <c r="E52" t="s">
        <v>182</v>
      </c>
      <c r="F52" t="s">
        <v>184</v>
      </c>
      <c r="G52">
        <v>1</v>
      </c>
      <c r="H52">
        <v>522.1</v>
      </c>
      <c r="I52" t="s">
        <v>187</v>
      </c>
      <c r="J52">
        <v>522.1</v>
      </c>
    </row>
    <row r="53" spans="1:10" x14ac:dyDescent="0.25">
      <c r="A53" t="s">
        <v>61</v>
      </c>
      <c r="B53" s="2">
        <v>45709</v>
      </c>
      <c r="C53" t="s">
        <v>112</v>
      </c>
      <c r="D53" t="s">
        <v>174</v>
      </c>
      <c r="E53" t="s">
        <v>182</v>
      </c>
      <c r="F53" t="s">
        <v>186</v>
      </c>
      <c r="G53">
        <v>3</v>
      </c>
      <c r="H53">
        <v>271.68</v>
      </c>
      <c r="I53" t="s">
        <v>187</v>
      </c>
      <c r="J53">
        <v>815.04</v>
      </c>
    </row>
    <row r="54" spans="1:10" x14ac:dyDescent="0.25">
      <c r="A54" t="s">
        <v>62</v>
      </c>
      <c r="B54" s="2">
        <v>45710</v>
      </c>
      <c r="C54" t="s">
        <v>131</v>
      </c>
      <c r="D54" t="s">
        <v>177</v>
      </c>
      <c r="E54" t="s">
        <v>181</v>
      </c>
      <c r="F54" t="s">
        <v>183</v>
      </c>
      <c r="G54">
        <v>4</v>
      </c>
      <c r="H54">
        <v>382.57</v>
      </c>
      <c r="I54" t="s">
        <v>189</v>
      </c>
      <c r="J54">
        <v>1530.28</v>
      </c>
    </row>
    <row r="55" spans="1:10" x14ac:dyDescent="0.25">
      <c r="A55" t="s">
        <v>63</v>
      </c>
      <c r="B55" s="2">
        <v>45711</v>
      </c>
      <c r="C55" t="s">
        <v>144</v>
      </c>
      <c r="D55" t="s">
        <v>176</v>
      </c>
      <c r="E55" t="s">
        <v>182</v>
      </c>
      <c r="F55" t="s">
        <v>185</v>
      </c>
      <c r="G55">
        <v>3</v>
      </c>
      <c r="H55">
        <v>430.86</v>
      </c>
      <c r="I55" t="s">
        <v>189</v>
      </c>
      <c r="J55">
        <v>1292.58</v>
      </c>
    </row>
    <row r="56" spans="1:10" x14ac:dyDescent="0.25">
      <c r="A56" t="s">
        <v>64</v>
      </c>
      <c r="B56" s="2">
        <v>45712</v>
      </c>
      <c r="C56" t="s">
        <v>145</v>
      </c>
      <c r="D56" t="s">
        <v>173</v>
      </c>
      <c r="E56" t="s">
        <v>182</v>
      </c>
      <c r="F56" t="s">
        <v>183</v>
      </c>
      <c r="G56">
        <v>5</v>
      </c>
      <c r="H56">
        <v>947.85</v>
      </c>
      <c r="I56" t="s">
        <v>188</v>
      </c>
      <c r="J56">
        <v>4739.25</v>
      </c>
    </row>
    <row r="57" spans="1:10" x14ac:dyDescent="0.25">
      <c r="A57" t="s">
        <v>65</v>
      </c>
      <c r="B57" s="2">
        <v>45713</v>
      </c>
      <c r="C57" t="s">
        <v>141</v>
      </c>
      <c r="D57" t="s">
        <v>179</v>
      </c>
      <c r="E57" t="s">
        <v>181</v>
      </c>
      <c r="F57" t="s">
        <v>184</v>
      </c>
      <c r="G57">
        <v>3</v>
      </c>
      <c r="H57">
        <v>299.33</v>
      </c>
      <c r="I57" t="s">
        <v>189</v>
      </c>
      <c r="J57">
        <v>897.99</v>
      </c>
    </row>
    <row r="58" spans="1:10" x14ac:dyDescent="0.25">
      <c r="A58" t="s">
        <v>66</v>
      </c>
      <c r="B58" s="2">
        <v>45714</v>
      </c>
      <c r="C58" t="s">
        <v>146</v>
      </c>
      <c r="D58" t="s">
        <v>176</v>
      </c>
      <c r="E58" t="s">
        <v>182</v>
      </c>
      <c r="F58" t="s">
        <v>184</v>
      </c>
      <c r="G58">
        <v>4</v>
      </c>
      <c r="H58">
        <v>229.99</v>
      </c>
      <c r="I58" t="s">
        <v>187</v>
      </c>
      <c r="J58">
        <v>919.96</v>
      </c>
    </row>
    <row r="59" spans="1:10" x14ac:dyDescent="0.25">
      <c r="A59" t="s">
        <v>67</v>
      </c>
      <c r="B59" s="2">
        <v>45715</v>
      </c>
      <c r="C59" t="s">
        <v>147</v>
      </c>
      <c r="D59" t="s">
        <v>173</v>
      </c>
      <c r="E59" t="s">
        <v>182</v>
      </c>
      <c r="F59" t="s">
        <v>184</v>
      </c>
      <c r="G59">
        <v>4</v>
      </c>
      <c r="H59">
        <v>363.6</v>
      </c>
      <c r="I59" t="s">
        <v>188</v>
      </c>
      <c r="J59">
        <v>1454.4</v>
      </c>
    </row>
    <row r="60" spans="1:10" x14ac:dyDescent="0.25">
      <c r="A60" t="s">
        <v>68</v>
      </c>
      <c r="B60" s="2">
        <v>45716</v>
      </c>
      <c r="C60" t="s">
        <v>148</v>
      </c>
      <c r="D60" t="s">
        <v>179</v>
      </c>
      <c r="E60" t="s">
        <v>181</v>
      </c>
      <c r="F60" t="s">
        <v>185</v>
      </c>
      <c r="G60">
        <v>9</v>
      </c>
      <c r="H60">
        <v>114.65</v>
      </c>
      <c r="I60" t="s">
        <v>188</v>
      </c>
      <c r="J60">
        <v>1031.8499999999999</v>
      </c>
    </row>
    <row r="61" spans="1:10" x14ac:dyDescent="0.25">
      <c r="A61" t="s">
        <v>69</v>
      </c>
      <c r="B61" s="2">
        <v>45717</v>
      </c>
      <c r="C61" t="s">
        <v>149</v>
      </c>
      <c r="D61" t="s">
        <v>179</v>
      </c>
      <c r="E61" t="s">
        <v>181</v>
      </c>
      <c r="F61" t="s">
        <v>184</v>
      </c>
      <c r="G61">
        <v>7</v>
      </c>
      <c r="H61">
        <v>684.07</v>
      </c>
      <c r="I61" t="s">
        <v>189</v>
      </c>
      <c r="J61">
        <v>4788.4900000000007</v>
      </c>
    </row>
    <row r="62" spans="1:10" x14ac:dyDescent="0.25">
      <c r="A62" t="s">
        <v>70</v>
      </c>
      <c r="B62" s="2">
        <v>45718</v>
      </c>
      <c r="D62" t="s">
        <v>178</v>
      </c>
      <c r="E62" t="s">
        <v>181</v>
      </c>
      <c r="F62" t="s">
        <v>185</v>
      </c>
      <c r="G62">
        <v>7</v>
      </c>
      <c r="H62">
        <v>255.82</v>
      </c>
      <c r="I62" t="s">
        <v>188</v>
      </c>
      <c r="J62">
        <v>1790.74</v>
      </c>
    </row>
    <row r="63" spans="1:10" x14ac:dyDescent="0.25">
      <c r="A63" t="s">
        <v>71</v>
      </c>
      <c r="B63" s="2">
        <v>45719</v>
      </c>
      <c r="C63" t="s">
        <v>130</v>
      </c>
      <c r="D63" t="s">
        <v>175</v>
      </c>
      <c r="E63" t="s">
        <v>182</v>
      </c>
      <c r="F63" t="s">
        <v>183</v>
      </c>
      <c r="G63">
        <v>4</v>
      </c>
      <c r="H63">
        <v>946.84</v>
      </c>
      <c r="I63" t="s">
        <v>187</v>
      </c>
      <c r="J63">
        <v>3787.36</v>
      </c>
    </row>
    <row r="64" spans="1:10" x14ac:dyDescent="0.25">
      <c r="A64" t="s">
        <v>72</v>
      </c>
      <c r="B64" s="2">
        <v>45720</v>
      </c>
      <c r="C64" t="s">
        <v>111</v>
      </c>
      <c r="D64" t="s">
        <v>179</v>
      </c>
      <c r="E64" t="s">
        <v>181</v>
      </c>
      <c r="F64" t="s">
        <v>184</v>
      </c>
      <c r="G64">
        <v>3</v>
      </c>
      <c r="H64">
        <v>734.36</v>
      </c>
      <c r="I64" t="s">
        <v>188</v>
      </c>
      <c r="J64">
        <v>2203.08</v>
      </c>
    </row>
    <row r="65" spans="1:10" x14ac:dyDescent="0.25">
      <c r="A65" t="s">
        <v>73</v>
      </c>
      <c r="B65" s="2">
        <v>45721</v>
      </c>
      <c r="C65" t="s">
        <v>150</v>
      </c>
      <c r="D65" t="s">
        <v>178</v>
      </c>
      <c r="E65" t="s">
        <v>181</v>
      </c>
      <c r="F65" t="s">
        <v>185</v>
      </c>
      <c r="G65">
        <v>9</v>
      </c>
      <c r="H65">
        <v>308.07</v>
      </c>
      <c r="I65" t="s">
        <v>189</v>
      </c>
      <c r="J65">
        <v>2772.63</v>
      </c>
    </row>
    <row r="66" spans="1:10" x14ac:dyDescent="0.25">
      <c r="A66" t="s">
        <v>74</v>
      </c>
      <c r="B66" s="2">
        <v>45722</v>
      </c>
      <c r="C66" t="s">
        <v>151</v>
      </c>
      <c r="D66" t="s">
        <v>171</v>
      </c>
      <c r="E66" t="s">
        <v>182</v>
      </c>
      <c r="F66" t="s">
        <v>186</v>
      </c>
      <c r="G66">
        <v>7</v>
      </c>
      <c r="H66">
        <v>84.67</v>
      </c>
      <c r="I66" t="s">
        <v>187</v>
      </c>
      <c r="J66">
        <v>592.69000000000005</v>
      </c>
    </row>
    <row r="67" spans="1:10" x14ac:dyDescent="0.25">
      <c r="A67" t="s">
        <v>75</v>
      </c>
      <c r="B67" s="2">
        <v>45723</v>
      </c>
      <c r="C67" t="s">
        <v>152</v>
      </c>
      <c r="D67" t="s">
        <v>178</v>
      </c>
      <c r="E67" t="s">
        <v>181</v>
      </c>
      <c r="F67" t="s">
        <v>186</v>
      </c>
      <c r="G67">
        <v>6</v>
      </c>
      <c r="H67">
        <v>58.25</v>
      </c>
      <c r="I67" t="s">
        <v>187</v>
      </c>
      <c r="J67">
        <v>349.5</v>
      </c>
    </row>
    <row r="68" spans="1:10" x14ac:dyDescent="0.25">
      <c r="A68" t="s">
        <v>76</v>
      </c>
      <c r="B68" s="2">
        <v>45724</v>
      </c>
      <c r="C68" t="s">
        <v>153</v>
      </c>
      <c r="D68" t="s">
        <v>171</v>
      </c>
      <c r="E68" t="s">
        <v>182</v>
      </c>
      <c r="F68" t="s">
        <v>184</v>
      </c>
      <c r="G68">
        <v>4</v>
      </c>
      <c r="H68">
        <v>759.55</v>
      </c>
      <c r="I68" t="s">
        <v>189</v>
      </c>
      <c r="J68">
        <v>3038.2</v>
      </c>
    </row>
    <row r="69" spans="1:10" x14ac:dyDescent="0.25">
      <c r="A69" t="s">
        <v>77</v>
      </c>
      <c r="B69" s="2">
        <v>45725</v>
      </c>
      <c r="C69" t="s">
        <v>154</v>
      </c>
      <c r="D69" t="s">
        <v>177</v>
      </c>
      <c r="E69" t="s">
        <v>181</v>
      </c>
      <c r="F69" t="s">
        <v>185</v>
      </c>
      <c r="G69">
        <v>7</v>
      </c>
      <c r="H69">
        <v>635.32000000000005</v>
      </c>
      <c r="I69" t="s">
        <v>188</v>
      </c>
      <c r="J69">
        <v>4447.2400000000007</v>
      </c>
    </row>
    <row r="70" spans="1:10" x14ac:dyDescent="0.25">
      <c r="A70" t="s">
        <v>78</v>
      </c>
      <c r="B70" s="2">
        <v>45726</v>
      </c>
      <c r="C70" t="s">
        <v>133</v>
      </c>
      <c r="D70" t="s">
        <v>179</v>
      </c>
      <c r="E70" t="s">
        <v>181</v>
      </c>
      <c r="F70" t="s">
        <v>186</v>
      </c>
      <c r="G70">
        <v>2</v>
      </c>
      <c r="H70">
        <v>450.66</v>
      </c>
      <c r="I70" t="s">
        <v>187</v>
      </c>
      <c r="J70">
        <v>901.32</v>
      </c>
    </row>
    <row r="71" spans="1:10" x14ac:dyDescent="0.25">
      <c r="A71" t="s">
        <v>79</v>
      </c>
      <c r="B71" s="2">
        <v>45727</v>
      </c>
      <c r="C71" t="s">
        <v>155</v>
      </c>
      <c r="D71" t="s">
        <v>173</v>
      </c>
      <c r="E71" t="s">
        <v>182</v>
      </c>
      <c r="F71" t="s">
        <v>186</v>
      </c>
      <c r="G71">
        <v>2</v>
      </c>
      <c r="H71">
        <v>167.27</v>
      </c>
      <c r="I71" t="s">
        <v>188</v>
      </c>
      <c r="J71">
        <v>334.54</v>
      </c>
    </row>
    <row r="72" spans="1:10" x14ac:dyDescent="0.25">
      <c r="A72" t="s">
        <v>80</v>
      </c>
      <c r="B72" s="2">
        <v>45728</v>
      </c>
      <c r="C72" t="s">
        <v>156</v>
      </c>
      <c r="D72" t="s">
        <v>174</v>
      </c>
      <c r="E72" t="s">
        <v>182</v>
      </c>
      <c r="F72" t="s">
        <v>183</v>
      </c>
      <c r="G72">
        <v>3</v>
      </c>
      <c r="H72">
        <v>39.369999999999997</v>
      </c>
      <c r="I72" t="s">
        <v>189</v>
      </c>
      <c r="J72">
        <v>118.11</v>
      </c>
    </row>
    <row r="73" spans="1:10" x14ac:dyDescent="0.25">
      <c r="A73" t="s">
        <v>81</v>
      </c>
      <c r="B73" s="2">
        <v>45729</v>
      </c>
      <c r="C73" t="s">
        <v>157</v>
      </c>
      <c r="D73" t="s">
        <v>178</v>
      </c>
      <c r="E73" t="s">
        <v>181</v>
      </c>
      <c r="F73" t="s">
        <v>185</v>
      </c>
      <c r="G73">
        <v>6</v>
      </c>
      <c r="H73">
        <v>46.65</v>
      </c>
      <c r="I73" t="s">
        <v>187</v>
      </c>
      <c r="J73">
        <v>279.89999999999998</v>
      </c>
    </row>
    <row r="74" spans="1:10" x14ac:dyDescent="0.25">
      <c r="A74" t="s">
        <v>82</v>
      </c>
      <c r="B74" s="2">
        <v>45730</v>
      </c>
      <c r="C74" t="s">
        <v>158</v>
      </c>
      <c r="D74" t="s">
        <v>174</v>
      </c>
      <c r="E74" t="s">
        <v>182</v>
      </c>
      <c r="F74" t="s">
        <v>184</v>
      </c>
      <c r="G74">
        <v>3</v>
      </c>
      <c r="H74">
        <v>345.37</v>
      </c>
      <c r="I74" t="s">
        <v>187</v>
      </c>
      <c r="J74">
        <v>1036.1099999999999</v>
      </c>
    </row>
    <row r="75" spans="1:10" x14ac:dyDescent="0.25">
      <c r="A75" t="s">
        <v>83</v>
      </c>
      <c r="B75" s="2">
        <v>45731</v>
      </c>
      <c r="C75" t="s">
        <v>153</v>
      </c>
      <c r="D75" t="s">
        <v>176</v>
      </c>
      <c r="E75" t="s">
        <v>182</v>
      </c>
      <c r="F75" t="s">
        <v>185</v>
      </c>
      <c r="G75">
        <v>2</v>
      </c>
      <c r="H75">
        <v>297.77</v>
      </c>
      <c r="I75" t="s">
        <v>189</v>
      </c>
      <c r="J75">
        <v>595.54</v>
      </c>
    </row>
    <row r="76" spans="1:10" x14ac:dyDescent="0.25">
      <c r="A76" t="s">
        <v>84</v>
      </c>
      <c r="B76" s="2">
        <v>45732</v>
      </c>
      <c r="C76" t="s">
        <v>139</v>
      </c>
      <c r="D76" t="s">
        <v>173</v>
      </c>
      <c r="E76" t="s">
        <v>182</v>
      </c>
      <c r="F76" t="s">
        <v>185</v>
      </c>
      <c r="G76">
        <v>4</v>
      </c>
      <c r="H76">
        <v>716.73</v>
      </c>
      <c r="I76" t="s">
        <v>188</v>
      </c>
      <c r="J76">
        <v>2866.92</v>
      </c>
    </row>
    <row r="77" spans="1:10" x14ac:dyDescent="0.25">
      <c r="A77" t="s">
        <v>85</v>
      </c>
      <c r="B77" s="2">
        <v>45733</v>
      </c>
      <c r="C77" t="s">
        <v>115</v>
      </c>
      <c r="D77" t="s">
        <v>171</v>
      </c>
      <c r="E77" t="s">
        <v>182</v>
      </c>
      <c r="F77" t="s">
        <v>185</v>
      </c>
      <c r="G77">
        <v>4</v>
      </c>
      <c r="H77">
        <v>17.29</v>
      </c>
      <c r="I77" t="s">
        <v>189</v>
      </c>
      <c r="J77">
        <v>69.16</v>
      </c>
    </row>
    <row r="78" spans="1:10" x14ac:dyDescent="0.25">
      <c r="A78" t="s">
        <v>86</v>
      </c>
      <c r="B78" s="2">
        <v>45734</v>
      </c>
      <c r="C78" t="s">
        <v>159</v>
      </c>
      <c r="D78" t="s">
        <v>176</v>
      </c>
      <c r="E78" t="s">
        <v>182</v>
      </c>
      <c r="F78" t="s">
        <v>186</v>
      </c>
      <c r="G78">
        <v>3</v>
      </c>
      <c r="H78">
        <v>721.58</v>
      </c>
      <c r="I78" t="s">
        <v>189</v>
      </c>
      <c r="J78">
        <v>2164.7399999999998</v>
      </c>
    </row>
    <row r="79" spans="1:10" x14ac:dyDescent="0.25">
      <c r="A79" t="s">
        <v>87</v>
      </c>
      <c r="B79" s="2">
        <v>45735</v>
      </c>
      <c r="D79" t="s">
        <v>179</v>
      </c>
      <c r="E79" t="s">
        <v>181</v>
      </c>
      <c r="F79" t="s">
        <v>183</v>
      </c>
      <c r="G79">
        <v>3</v>
      </c>
      <c r="H79">
        <v>340.91</v>
      </c>
      <c r="I79" t="s">
        <v>187</v>
      </c>
      <c r="J79">
        <v>1022.73</v>
      </c>
    </row>
    <row r="80" spans="1:10" x14ac:dyDescent="0.25">
      <c r="A80" t="s">
        <v>88</v>
      </c>
      <c r="B80" s="2">
        <v>45736</v>
      </c>
      <c r="C80" t="s">
        <v>160</v>
      </c>
      <c r="D80" t="s">
        <v>178</v>
      </c>
      <c r="E80" t="s">
        <v>181</v>
      </c>
      <c r="F80" t="s">
        <v>183</v>
      </c>
      <c r="G80">
        <v>7</v>
      </c>
      <c r="H80">
        <v>549.97</v>
      </c>
      <c r="I80" t="s">
        <v>189</v>
      </c>
      <c r="J80">
        <v>3849.79</v>
      </c>
    </row>
    <row r="81" spans="1:10" x14ac:dyDescent="0.25">
      <c r="A81" t="s">
        <v>89</v>
      </c>
      <c r="B81" s="2">
        <v>45737</v>
      </c>
      <c r="C81" t="s">
        <v>119</v>
      </c>
      <c r="D81" t="s">
        <v>176</v>
      </c>
      <c r="E81" t="s">
        <v>182</v>
      </c>
      <c r="F81" t="s">
        <v>183</v>
      </c>
      <c r="G81">
        <v>9</v>
      </c>
      <c r="H81">
        <v>36.51</v>
      </c>
      <c r="I81" t="s">
        <v>189</v>
      </c>
      <c r="J81">
        <v>328.59</v>
      </c>
    </row>
    <row r="82" spans="1:10" x14ac:dyDescent="0.25">
      <c r="A82" t="s">
        <v>90</v>
      </c>
      <c r="B82" s="2">
        <v>45738</v>
      </c>
      <c r="C82" t="s">
        <v>161</v>
      </c>
      <c r="D82" t="s">
        <v>172</v>
      </c>
      <c r="E82" t="s">
        <v>181</v>
      </c>
      <c r="F82" t="s">
        <v>183</v>
      </c>
      <c r="G82">
        <v>9</v>
      </c>
      <c r="H82">
        <v>235.36</v>
      </c>
      <c r="I82" t="s">
        <v>189</v>
      </c>
      <c r="J82">
        <v>2118.2399999999998</v>
      </c>
    </row>
    <row r="83" spans="1:10" x14ac:dyDescent="0.25">
      <c r="A83" t="s">
        <v>91</v>
      </c>
      <c r="B83" s="2">
        <v>45739</v>
      </c>
      <c r="C83" t="s">
        <v>119</v>
      </c>
      <c r="D83" t="s">
        <v>178</v>
      </c>
      <c r="E83" t="s">
        <v>181</v>
      </c>
      <c r="F83" t="s">
        <v>183</v>
      </c>
      <c r="G83">
        <v>10</v>
      </c>
      <c r="H83">
        <v>249.86</v>
      </c>
      <c r="I83" t="s">
        <v>188</v>
      </c>
      <c r="J83">
        <v>2498.6</v>
      </c>
    </row>
    <row r="84" spans="1:10" x14ac:dyDescent="0.25">
      <c r="A84" t="s">
        <v>92</v>
      </c>
      <c r="B84" s="2">
        <v>45740</v>
      </c>
      <c r="C84" t="s">
        <v>162</v>
      </c>
      <c r="D84" t="s">
        <v>172</v>
      </c>
      <c r="E84" t="s">
        <v>181</v>
      </c>
      <c r="F84" t="s">
        <v>183</v>
      </c>
      <c r="G84">
        <v>10</v>
      </c>
      <c r="H84">
        <v>538.9</v>
      </c>
      <c r="I84" t="s">
        <v>187</v>
      </c>
      <c r="J84">
        <v>5389</v>
      </c>
    </row>
    <row r="85" spans="1:10" x14ac:dyDescent="0.25">
      <c r="A85" t="s">
        <v>93</v>
      </c>
      <c r="B85" s="2">
        <v>45741</v>
      </c>
      <c r="C85" t="s">
        <v>163</v>
      </c>
      <c r="D85" t="s">
        <v>177</v>
      </c>
      <c r="E85" t="s">
        <v>181</v>
      </c>
      <c r="F85" t="s">
        <v>186</v>
      </c>
      <c r="G85">
        <v>5</v>
      </c>
      <c r="H85">
        <v>18.79</v>
      </c>
      <c r="I85" t="s">
        <v>187</v>
      </c>
      <c r="J85">
        <v>93.949999999999989</v>
      </c>
    </row>
    <row r="86" spans="1:10" x14ac:dyDescent="0.25">
      <c r="A86" t="s">
        <v>94</v>
      </c>
      <c r="B86" s="2">
        <v>45742</v>
      </c>
      <c r="C86" t="s">
        <v>164</v>
      </c>
      <c r="D86" t="s">
        <v>173</v>
      </c>
      <c r="E86" t="s">
        <v>182</v>
      </c>
      <c r="F86" t="s">
        <v>185</v>
      </c>
      <c r="G86">
        <v>8</v>
      </c>
      <c r="H86">
        <v>530.91</v>
      </c>
      <c r="I86" t="s">
        <v>187</v>
      </c>
      <c r="J86">
        <v>4247.28</v>
      </c>
    </row>
    <row r="87" spans="1:10" x14ac:dyDescent="0.25">
      <c r="A87" t="s">
        <v>95</v>
      </c>
      <c r="B87" s="2">
        <v>45743</v>
      </c>
      <c r="C87" t="s">
        <v>135</v>
      </c>
      <c r="D87" t="s">
        <v>174</v>
      </c>
      <c r="E87" t="s">
        <v>182</v>
      </c>
      <c r="F87" t="s">
        <v>186</v>
      </c>
      <c r="G87">
        <v>2</v>
      </c>
      <c r="H87">
        <v>35.26</v>
      </c>
      <c r="I87" t="s">
        <v>188</v>
      </c>
      <c r="J87">
        <v>70.52</v>
      </c>
    </row>
    <row r="88" spans="1:10" x14ac:dyDescent="0.25">
      <c r="A88" t="s">
        <v>96</v>
      </c>
      <c r="B88" s="2">
        <v>45744</v>
      </c>
      <c r="C88" t="s">
        <v>165</v>
      </c>
      <c r="D88" t="s">
        <v>176</v>
      </c>
      <c r="E88" t="s">
        <v>182</v>
      </c>
      <c r="F88" t="s">
        <v>185</v>
      </c>
      <c r="G88">
        <v>3</v>
      </c>
      <c r="H88">
        <v>577.83000000000004</v>
      </c>
      <c r="I88" t="s">
        <v>188</v>
      </c>
      <c r="J88">
        <v>1733.49</v>
      </c>
    </row>
    <row r="89" spans="1:10" x14ac:dyDescent="0.25">
      <c r="A89" t="s">
        <v>97</v>
      </c>
      <c r="B89" s="2">
        <v>45745</v>
      </c>
      <c r="C89" t="s">
        <v>140</v>
      </c>
      <c r="D89" t="s">
        <v>180</v>
      </c>
      <c r="E89" t="s">
        <v>181</v>
      </c>
      <c r="F89" t="s">
        <v>185</v>
      </c>
      <c r="G89">
        <v>1</v>
      </c>
      <c r="H89">
        <v>973.61</v>
      </c>
      <c r="I89" t="s">
        <v>188</v>
      </c>
      <c r="J89">
        <v>973.61</v>
      </c>
    </row>
    <row r="90" spans="1:10" x14ac:dyDescent="0.25">
      <c r="A90" t="s">
        <v>98</v>
      </c>
      <c r="B90" s="2">
        <v>45746</v>
      </c>
      <c r="C90" t="s">
        <v>166</v>
      </c>
      <c r="D90" t="s">
        <v>175</v>
      </c>
      <c r="E90" t="s">
        <v>182</v>
      </c>
      <c r="F90" t="s">
        <v>185</v>
      </c>
      <c r="G90">
        <v>1</v>
      </c>
      <c r="H90">
        <v>244.48</v>
      </c>
      <c r="I90" t="s">
        <v>189</v>
      </c>
      <c r="J90">
        <v>244.48</v>
      </c>
    </row>
    <row r="91" spans="1:10" x14ac:dyDescent="0.25">
      <c r="A91" t="s">
        <v>99</v>
      </c>
      <c r="B91" s="2">
        <v>45747</v>
      </c>
      <c r="C91" t="s">
        <v>110</v>
      </c>
      <c r="D91" t="s">
        <v>174</v>
      </c>
      <c r="E91" t="s">
        <v>182</v>
      </c>
      <c r="F91" t="s">
        <v>185</v>
      </c>
      <c r="G91">
        <v>8</v>
      </c>
      <c r="H91">
        <v>646.37</v>
      </c>
      <c r="I91" t="s">
        <v>189</v>
      </c>
      <c r="J91">
        <v>5170.96</v>
      </c>
    </row>
    <row r="92" spans="1:10" x14ac:dyDescent="0.25">
      <c r="A92" t="s">
        <v>100</v>
      </c>
      <c r="B92" s="2">
        <v>45748</v>
      </c>
      <c r="C92" t="s">
        <v>167</v>
      </c>
      <c r="D92" t="s">
        <v>172</v>
      </c>
      <c r="E92" t="s">
        <v>181</v>
      </c>
      <c r="F92" t="s">
        <v>186</v>
      </c>
      <c r="G92">
        <v>6</v>
      </c>
      <c r="H92">
        <v>896.98</v>
      </c>
      <c r="I92" t="s">
        <v>188</v>
      </c>
      <c r="J92">
        <v>5381.88</v>
      </c>
    </row>
    <row r="93" spans="1:10" x14ac:dyDescent="0.25">
      <c r="A93" t="s">
        <v>101</v>
      </c>
      <c r="B93" s="2">
        <v>45749</v>
      </c>
      <c r="C93" t="s">
        <v>168</v>
      </c>
      <c r="D93" t="s">
        <v>177</v>
      </c>
      <c r="E93" t="s">
        <v>181</v>
      </c>
      <c r="F93" t="s">
        <v>186</v>
      </c>
      <c r="G93">
        <v>5</v>
      </c>
      <c r="H93">
        <v>554.62</v>
      </c>
      <c r="I93" t="s">
        <v>187</v>
      </c>
      <c r="J93">
        <v>2773.1</v>
      </c>
    </row>
    <row r="94" spans="1:10" x14ac:dyDescent="0.25">
      <c r="A94" t="s">
        <v>102</v>
      </c>
      <c r="B94" s="2">
        <v>45750</v>
      </c>
      <c r="C94" t="s">
        <v>117</v>
      </c>
      <c r="D94" t="s">
        <v>174</v>
      </c>
      <c r="E94" t="s">
        <v>182</v>
      </c>
      <c r="F94" t="s">
        <v>186</v>
      </c>
      <c r="G94">
        <v>6</v>
      </c>
      <c r="H94">
        <v>731.13</v>
      </c>
      <c r="I94" t="s">
        <v>189</v>
      </c>
      <c r="J94">
        <v>4386.78</v>
      </c>
    </row>
    <row r="95" spans="1:10" x14ac:dyDescent="0.25">
      <c r="A95" t="s">
        <v>103</v>
      </c>
      <c r="B95" s="2">
        <v>45751</v>
      </c>
      <c r="C95" t="s">
        <v>115</v>
      </c>
      <c r="D95" t="s">
        <v>175</v>
      </c>
      <c r="E95" t="s">
        <v>182</v>
      </c>
      <c r="F95" t="s">
        <v>186</v>
      </c>
      <c r="G95">
        <v>1</v>
      </c>
      <c r="H95">
        <v>985.46</v>
      </c>
      <c r="I95" t="s">
        <v>188</v>
      </c>
      <c r="J95">
        <v>985.46</v>
      </c>
    </row>
    <row r="96" spans="1:10" x14ac:dyDescent="0.25">
      <c r="A96" t="s">
        <v>104</v>
      </c>
      <c r="B96" s="2">
        <v>45752</v>
      </c>
      <c r="C96" t="s">
        <v>169</v>
      </c>
      <c r="D96" t="s">
        <v>178</v>
      </c>
      <c r="E96" t="s">
        <v>181</v>
      </c>
      <c r="F96" t="s">
        <v>185</v>
      </c>
      <c r="G96">
        <v>4</v>
      </c>
      <c r="H96">
        <v>169.47</v>
      </c>
      <c r="I96" t="s">
        <v>189</v>
      </c>
      <c r="J96">
        <v>677.88</v>
      </c>
    </row>
    <row r="97" spans="1:10" x14ac:dyDescent="0.25">
      <c r="A97" t="s">
        <v>105</v>
      </c>
      <c r="B97" s="2">
        <v>45753</v>
      </c>
      <c r="C97" t="s">
        <v>164</v>
      </c>
      <c r="D97" t="s">
        <v>177</v>
      </c>
      <c r="E97" t="s">
        <v>181</v>
      </c>
      <c r="F97" t="s">
        <v>183</v>
      </c>
      <c r="G97">
        <v>2</v>
      </c>
      <c r="H97">
        <v>534.66999999999996</v>
      </c>
      <c r="I97" t="s">
        <v>188</v>
      </c>
      <c r="J97">
        <v>1069.3399999999999</v>
      </c>
    </row>
    <row r="98" spans="1:10" x14ac:dyDescent="0.25">
      <c r="A98" t="s">
        <v>106</v>
      </c>
      <c r="B98" s="2">
        <v>45754</v>
      </c>
      <c r="C98" t="s">
        <v>170</v>
      </c>
      <c r="D98" t="s">
        <v>174</v>
      </c>
      <c r="E98" t="s">
        <v>182</v>
      </c>
      <c r="F98" t="s">
        <v>183</v>
      </c>
      <c r="G98">
        <v>6</v>
      </c>
      <c r="H98">
        <v>987.41</v>
      </c>
      <c r="I98" t="s">
        <v>188</v>
      </c>
      <c r="J98">
        <v>5924.46</v>
      </c>
    </row>
    <row r="99" spans="1:10" x14ac:dyDescent="0.25">
      <c r="A99" t="s">
        <v>107</v>
      </c>
      <c r="B99" s="2">
        <v>45755</v>
      </c>
      <c r="C99" t="s">
        <v>123</v>
      </c>
      <c r="D99" t="s">
        <v>177</v>
      </c>
      <c r="E99" t="s">
        <v>181</v>
      </c>
      <c r="F99" t="s">
        <v>183</v>
      </c>
      <c r="G99">
        <v>3</v>
      </c>
      <c r="H99">
        <v>370.38</v>
      </c>
      <c r="I99" t="s">
        <v>188</v>
      </c>
      <c r="J99">
        <v>1111.1400000000001</v>
      </c>
    </row>
    <row r="100" spans="1:10" x14ac:dyDescent="0.25">
      <c r="A100" t="s">
        <v>108</v>
      </c>
      <c r="B100" s="2">
        <v>45756</v>
      </c>
      <c r="C100" t="s">
        <v>145</v>
      </c>
      <c r="D100" t="s">
        <v>176</v>
      </c>
      <c r="E100" t="s">
        <v>182</v>
      </c>
      <c r="F100" t="s">
        <v>184</v>
      </c>
      <c r="G100">
        <v>1</v>
      </c>
      <c r="H100">
        <v>374.35</v>
      </c>
      <c r="I100" t="s">
        <v>189</v>
      </c>
      <c r="J100">
        <v>374.35</v>
      </c>
    </row>
    <row r="101" spans="1:10" x14ac:dyDescent="0.25">
      <c r="A101" t="s">
        <v>109</v>
      </c>
      <c r="B101" s="2">
        <v>45757</v>
      </c>
      <c r="C101" t="s">
        <v>154</v>
      </c>
      <c r="D101" t="s">
        <v>177</v>
      </c>
      <c r="E101" t="s">
        <v>181</v>
      </c>
      <c r="F101" t="s">
        <v>185</v>
      </c>
      <c r="G101">
        <v>8</v>
      </c>
      <c r="H101">
        <v>26.11</v>
      </c>
      <c r="I101" t="s">
        <v>187</v>
      </c>
      <c r="J101">
        <v>208.88</v>
      </c>
    </row>
    <row r="102" spans="1:10" x14ac:dyDescent="0.25">
      <c r="A102" t="s">
        <v>36</v>
      </c>
      <c r="B102" s="2">
        <v>45684</v>
      </c>
      <c r="C102" t="s">
        <v>129</v>
      </c>
      <c r="D102" t="s">
        <v>174</v>
      </c>
      <c r="E102" t="s">
        <v>182</v>
      </c>
      <c r="F102" t="s">
        <v>186</v>
      </c>
      <c r="G102">
        <v>5</v>
      </c>
      <c r="H102">
        <v>847.91</v>
      </c>
      <c r="I102" t="s">
        <v>187</v>
      </c>
      <c r="J102">
        <v>4239.55</v>
      </c>
    </row>
    <row r="103" spans="1:10" x14ac:dyDescent="0.25">
      <c r="A103" t="s">
        <v>51</v>
      </c>
      <c r="B103" s="2">
        <v>45699</v>
      </c>
      <c r="C103" t="s">
        <v>117</v>
      </c>
      <c r="D103" t="s">
        <v>175</v>
      </c>
      <c r="E103" t="s">
        <v>182</v>
      </c>
      <c r="F103" t="s">
        <v>184</v>
      </c>
      <c r="G103">
        <v>8</v>
      </c>
      <c r="H103">
        <v>29.07</v>
      </c>
      <c r="I103" t="s">
        <v>188</v>
      </c>
      <c r="J103">
        <v>232.56</v>
      </c>
    </row>
    <row r="104" spans="1:10" x14ac:dyDescent="0.25">
      <c r="A104" t="s">
        <v>97</v>
      </c>
      <c r="B104" s="2">
        <v>45745</v>
      </c>
      <c r="C104" t="s">
        <v>140</v>
      </c>
      <c r="D104" t="s">
        <v>180</v>
      </c>
      <c r="E104" t="s">
        <v>181</v>
      </c>
      <c r="F104" t="s">
        <v>185</v>
      </c>
      <c r="G104">
        <v>1</v>
      </c>
      <c r="H104">
        <v>973.61</v>
      </c>
      <c r="I104" t="s">
        <v>188</v>
      </c>
      <c r="J104">
        <v>973.61</v>
      </c>
    </row>
  </sheetData>
  <dataConsolid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EA39AFB-21A1-48BC-9443-4997A38440D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7</vt:i4>
      </vt:variant>
    </vt:vector>
  </HeadingPairs>
  <TitlesOfParts>
    <vt:vector size="11" baseType="lpstr">
      <vt:lpstr>Dashboard</vt:lpstr>
      <vt:lpstr>PivotTable</vt:lpstr>
      <vt:lpstr>Table</vt:lpstr>
      <vt:lpstr>Original File</vt:lpstr>
      <vt:lpstr>AOV</vt:lpstr>
      <vt:lpstr>AvgDiscount</vt:lpstr>
      <vt:lpstr>NetSales</vt:lpstr>
      <vt:lpstr>Netsales1</vt:lpstr>
      <vt:lpstr>Quantity</vt:lpstr>
      <vt:lpstr>QuantitySold</vt:lpstr>
      <vt:lpstr>TotalSales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Aaliyah Lopez Aquino</cp:lastModifiedBy>
  <dcterms:created xsi:type="dcterms:W3CDTF">2025-09-22T03:13:33Z</dcterms:created>
  <dcterms:modified xsi:type="dcterms:W3CDTF">2025-12-14T13:13:47Z</dcterms:modified>
</cp:coreProperties>
</file>